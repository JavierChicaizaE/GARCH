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Olimpia\Downloads\"/>
    </mc:Choice>
  </mc:AlternateContent>
  <bookViews>
    <workbookView xWindow="0" yWindow="0" windowWidth="15360" windowHeight="7650" tabRatio="500" activeTab="3"/>
  </bookViews>
  <sheets>
    <sheet name="Datos" sheetId="1" r:id="rId1"/>
    <sheet name="GARCH" sheetId="2" r:id="rId2"/>
    <sheet name="Graficas" sheetId="3" r:id="rId3"/>
    <sheet name="Interpretación" sheetId="4" r:id="rId4"/>
  </sheets>
  <calcPr calcId="162913" iterateDelta="1E-4"/>
  <fileRecoveryPr repairLoad="1"/>
  <extLst>
    <ext xmlns:loext="http://schemas.libreoffice.org/" uri="{7626C862-2A13-11E5-B345-FEFF819CDC9F}">
      <loext:extCalcPr stringRefSyntax="ExcelA1"/>
    </ext>
  </extLst>
</workbook>
</file>

<file path=xl/calcChain.xml><?xml version="1.0" encoding="utf-8"?>
<calcChain xmlns="http://schemas.openxmlformats.org/spreadsheetml/2006/main">
  <c r="B8" i="2" l="1"/>
  <c r="G15" i="2"/>
  <c r="G13" i="2"/>
  <c r="D14" i="2"/>
  <c r="D13" i="2"/>
  <c r="C13" i="2"/>
  <c r="B13" i="2"/>
  <c r="B7" i="4"/>
  <c r="B5" i="4"/>
  <c r="B4" i="4"/>
  <c r="B7" i="2"/>
  <c r="B3" i="4" s="1"/>
  <c r="B4" i="3"/>
  <c r="B9" i="2"/>
  <c r="B106" i="1"/>
  <c r="D5" i="1"/>
  <c r="D6" i="1"/>
  <c r="D7" i="1"/>
  <c r="D8" i="1"/>
  <c r="B17" i="2" s="1"/>
  <c r="C17" i="2" s="1"/>
  <c r="D9" i="1"/>
  <c r="D10" i="1"/>
  <c r="D11" i="1"/>
  <c r="D12" i="1"/>
  <c r="B21" i="2" s="1"/>
  <c r="C21" i="2" s="1"/>
  <c r="D13" i="1"/>
  <c r="D14" i="1"/>
  <c r="D15" i="1"/>
  <c r="D16" i="1"/>
  <c r="B25" i="2" s="1"/>
  <c r="C25" i="2" s="1"/>
  <c r="D17" i="1"/>
  <c r="D18" i="1"/>
  <c r="D19" i="1"/>
  <c r="D20" i="1"/>
  <c r="B29" i="2" s="1"/>
  <c r="C29" i="2" s="1"/>
  <c r="D21" i="1"/>
  <c r="D22" i="1"/>
  <c r="D23" i="1"/>
  <c r="D24" i="1"/>
  <c r="B33" i="2" s="1"/>
  <c r="C33" i="2" s="1"/>
  <c r="D25" i="1"/>
  <c r="D26" i="1"/>
  <c r="D27" i="1"/>
  <c r="D28" i="1"/>
  <c r="B37" i="2" s="1"/>
  <c r="C37" i="2" s="1"/>
  <c r="D29" i="1"/>
  <c r="D30" i="1"/>
  <c r="D31" i="1"/>
  <c r="D32" i="1"/>
  <c r="B41" i="2" s="1"/>
  <c r="C41" i="2" s="1"/>
  <c r="D33" i="1"/>
  <c r="D34" i="1"/>
  <c r="D35" i="1"/>
  <c r="D36" i="1"/>
  <c r="E36" i="1" s="1"/>
  <c r="D37" i="1"/>
  <c r="D38" i="1"/>
  <c r="D39" i="1"/>
  <c r="D40" i="1"/>
  <c r="E40" i="1" s="1"/>
  <c r="D41" i="1"/>
  <c r="D42" i="1"/>
  <c r="D43" i="1"/>
  <c r="D44" i="1"/>
  <c r="E44" i="1" s="1"/>
  <c r="D45" i="1"/>
  <c r="D46" i="1"/>
  <c r="D47" i="1"/>
  <c r="D48" i="1"/>
  <c r="E48" i="1" s="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4" i="1"/>
  <c r="B6" i="4"/>
  <c r="B6" i="3"/>
  <c r="B5" i="3"/>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4" i="2"/>
  <c r="B112" i="2"/>
  <c r="C112" i="2" s="1"/>
  <c r="B110" i="2"/>
  <c r="C110" i="2" s="1"/>
  <c r="B108" i="2"/>
  <c r="C108" i="2" s="1"/>
  <c r="B106" i="2"/>
  <c r="C106" i="2" s="1"/>
  <c r="B104" i="2"/>
  <c r="C104" i="2" s="1"/>
  <c r="B102" i="2"/>
  <c r="C102" i="2" s="1"/>
  <c r="B100" i="2"/>
  <c r="C100" i="2" s="1"/>
  <c r="B98" i="2"/>
  <c r="C98" i="2" s="1"/>
  <c r="B96" i="2"/>
  <c r="C96" i="2" s="1"/>
  <c r="B94" i="2"/>
  <c r="C94" i="2" s="1"/>
  <c r="B92" i="2"/>
  <c r="C92" i="2" s="1"/>
  <c r="B90" i="2"/>
  <c r="C90" i="2" s="1"/>
  <c r="B88" i="2"/>
  <c r="C88" i="2" s="1"/>
  <c r="B86" i="2"/>
  <c r="C86" i="2" s="1"/>
  <c r="B84" i="2"/>
  <c r="C84" i="2" s="1"/>
  <c r="B82" i="2"/>
  <c r="C82" i="2" s="1"/>
  <c r="B80" i="2"/>
  <c r="C80" i="2" s="1"/>
  <c r="B78" i="2"/>
  <c r="C78" i="2" s="1"/>
  <c r="B76" i="2"/>
  <c r="C76" i="2" s="1"/>
  <c r="B74" i="2"/>
  <c r="C74" i="2" s="1"/>
  <c r="B72" i="2"/>
  <c r="C72" i="2" s="1"/>
  <c r="B70" i="2"/>
  <c r="C70" i="2" s="1"/>
  <c r="B68" i="2"/>
  <c r="C68" i="2" s="1"/>
  <c r="B66" i="2"/>
  <c r="C66" i="2" s="1"/>
  <c r="B64" i="2"/>
  <c r="C64" i="2" s="1"/>
  <c r="B62" i="2"/>
  <c r="C62" i="2" s="1"/>
  <c r="B60" i="2"/>
  <c r="C60" i="2" s="1"/>
  <c r="B58" i="2"/>
  <c r="C58" i="2" s="1"/>
  <c r="B56" i="2"/>
  <c r="C56" i="2" s="1"/>
  <c r="B54" i="2"/>
  <c r="C54" i="2" s="1"/>
  <c r="B52" i="2"/>
  <c r="C52" i="2" s="1"/>
  <c r="B50" i="2"/>
  <c r="C50" i="2" s="1"/>
  <c r="B48" i="2"/>
  <c r="C48" i="2" s="1"/>
  <c r="B47" i="2"/>
  <c r="C47" i="2" s="1"/>
  <c r="B46" i="2"/>
  <c r="C46" i="2" s="1"/>
  <c r="B44" i="2"/>
  <c r="C44" i="2" s="1"/>
  <c r="B43" i="2"/>
  <c r="C43" i="2" s="1"/>
  <c r="B42" i="2"/>
  <c r="C42" i="2" s="1"/>
  <c r="B40" i="2"/>
  <c r="C40" i="2" s="1"/>
  <c r="B39" i="2"/>
  <c r="C39" i="2" s="1"/>
  <c r="B38" i="2"/>
  <c r="C38" i="2" s="1"/>
  <c r="B36" i="2"/>
  <c r="C36" i="2" s="1"/>
  <c r="B35" i="2"/>
  <c r="C35" i="2" s="1"/>
  <c r="B34" i="2"/>
  <c r="C34" i="2" s="1"/>
  <c r="B32" i="2"/>
  <c r="C32" i="2" s="1"/>
  <c r="B31" i="2"/>
  <c r="C31" i="2" s="1"/>
  <c r="B30" i="2"/>
  <c r="C30" i="2" s="1"/>
  <c r="B28" i="2"/>
  <c r="C28" i="2" s="1"/>
  <c r="B27" i="2"/>
  <c r="C27" i="2" s="1"/>
  <c r="B26" i="2"/>
  <c r="C26" i="2" s="1"/>
  <c r="B24" i="2"/>
  <c r="C24" i="2" s="1"/>
  <c r="B23" i="2"/>
  <c r="C23" i="2" s="1"/>
  <c r="B22" i="2"/>
  <c r="C22" i="2" s="1"/>
  <c r="B20" i="2"/>
  <c r="C20" i="2" s="1"/>
  <c r="B19" i="2"/>
  <c r="C19" i="2" s="1"/>
  <c r="B18" i="2"/>
  <c r="C18" i="2" s="1"/>
  <c r="B16" i="2"/>
  <c r="C16" i="2" s="1"/>
  <c r="B15" i="2"/>
  <c r="C15" i="2" s="1"/>
  <c r="B14" i="2"/>
  <c r="C14" i="2" s="1"/>
  <c r="E75" i="1" l="1"/>
  <c r="E45" i="1"/>
  <c r="E43" i="1"/>
  <c r="E83" i="1"/>
  <c r="E59" i="1"/>
  <c r="E61" i="1"/>
  <c r="E53" i="1"/>
  <c r="E91" i="1"/>
  <c r="B49" i="2"/>
  <c r="C49" i="2" s="1"/>
  <c r="E51" i="1"/>
  <c r="E67" i="1"/>
  <c r="E99" i="1"/>
  <c r="B53" i="2"/>
  <c r="C53" i="2" s="1"/>
  <c r="B45" i="2"/>
  <c r="C45" i="2" s="1"/>
  <c r="B55" i="2"/>
  <c r="C55" i="2" s="1"/>
  <c r="E46" i="1"/>
  <c r="B63" i="2"/>
  <c r="C63" i="2" s="1"/>
  <c r="E54" i="1"/>
  <c r="B87" i="2"/>
  <c r="C87" i="2" s="1"/>
  <c r="E78" i="1"/>
  <c r="B95" i="2"/>
  <c r="C95" i="2" s="1"/>
  <c r="E86" i="1"/>
  <c r="B103" i="2"/>
  <c r="C103" i="2" s="1"/>
  <c r="E94" i="1"/>
  <c r="B111" i="2"/>
  <c r="C111" i="2" s="1"/>
  <c r="E102" i="1"/>
  <c r="E7" i="1"/>
  <c r="E11" i="1"/>
  <c r="E17" i="1"/>
  <c r="E21" i="1"/>
  <c r="E27" i="1"/>
  <c r="E31" i="1"/>
  <c r="E35" i="1"/>
  <c r="E39" i="1"/>
  <c r="E57" i="1"/>
  <c r="B69" i="2"/>
  <c r="C69" i="2" s="1"/>
  <c r="E60" i="1"/>
  <c r="E73" i="1"/>
  <c r="B85" i="2"/>
  <c r="C85" i="2" s="1"/>
  <c r="E76" i="1"/>
  <c r="E89" i="1"/>
  <c r="B101" i="2"/>
  <c r="C101" i="2" s="1"/>
  <c r="E92" i="1"/>
  <c r="B51" i="2"/>
  <c r="C51" i="2" s="1"/>
  <c r="E42" i="1"/>
  <c r="E47" i="1"/>
  <c r="E50" i="1"/>
  <c r="B59" i="2"/>
  <c r="C59" i="2" s="1"/>
  <c r="E55" i="1"/>
  <c r="E58" i="1"/>
  <c r="B67" i="2"/>
  <c r="C67" i="2" s="1"/>
  <c r="E63" i="1"/>
  <c r="E66" i="1"/>
  <c r="B75" i="2"/>
  <c r="C75" i="2" s="1"/>
  <c r="E71" i="1"/>
  <c r="E74" i="1"/>
  <c r="B83" i="2"/>
  <c r="C83" i="2" s="1"/>
  <c r="E79" i="1"/>
  <c r="E82" i="1"/>
  <c r="B91" i="2"/>
  <c r="C91" i="2" s="1"/>
  <c r="E87" i="1"/>
  <c r="E90" i="1"/>
  <c r="B99" i="2"/>
  <c r="C99" i="2" s="1"/>
  <c r="E95" i="1"/>
  <c r="B107" i="2"/>
  <c r="C107" i="2" s="1"/>
  <c r="E98" i="1"/>
  <c r="E103" i="1"/>
  <c r="B57" i="2"/>
  <c r="C57" i="2" s="1"/>
  <c r="B71" i="2"/>
  <c r="C71" i="2" s="1"/>
  <c r="E62" i="1"/>
  <c r="B79" i="2"/>
  <c r="C79" i="2" s="1"/>
  <c r="E70" i="1"/>
  <c r="B109" i="1"/>
  <c r="E13" i="2" s="1"/>
  <c r="E5" i="1"/>
  <c r="E9" i="1"/>
  <c r="E13" i="1"/>
  <c r="E15" i="1"/>
  <c r="E19" i="1"/>
  <c r="E23" i="1"/>
  <c r="E25" i="1"/>
  <c r="E29" i="1"/>
  <c r="E33" i="1"/>
  <c r="E37" i="1"/>
  <c r="E41" i="1"/>
  <c r="E49" i="1"/>
  <c r="B61" i="2"/>
  <c r="C61" i="2" s="1"/>
  <c r="E52" i="1"/>
  <c r="E65" i="1"/>
  <c r="B77" i="2"/>
  <c r="C77" i="2" s="1"/>
  <c r="E68" i="1"/>
  <c r="E81" i="1"/>
  <c r="B93" i="2"/>
  <c r="C93" i="2" s="1"/>
  <c r="E84" i="1"/>
  <c r="E97" i="1"/>
  <c r="B109" i="2"/>
  <c r="C109" i="2" s="1"/>
  <c r="E100" i="1"/>
  <c r="B7" i="3"/>
  <c r="B112" i="1"/>
  <c r="B108" i="1"/>
  <c r="B111" i="1"/>
  <c r="B107" i="1"/>
  <c r="B110" i="1"/>
  <c r="E4" i="1"/>
  <c r="E6" i="1"/>
  <c r="E8" i="1"/>
  <c r="E10" i="1"/>
  <c r="E12" i="1"/>
  <c r="E14" i="1"/>
  <c r="E16" i="1"/>
  <c r="E18" i="1"/>
  <c r="E20" i="1"/>
  <c r="E22" i="1"/>
  <c r="E24" i="1"/>
  <c r="E26" i="1"/>
  <c r="E28" i="1"/>
  <c r="E30" i="1"/>
  <c r="E32" i="1"/>
  <c r="E34" i="1"/>
  <c r="E38" i="1"/>
  <c r="B65" i="2"/>
  <c r="C65" i="2" s="1"/>
  <c r="E56" i="1"/>
  <c r="B73" i="2"/>
  <c r="C73" i="2" s="1"/>
  <c r="E64" i="1"/>
  <c r="E69" i="1"/>
  <c r="B81" i="2"/>
  <c r="C81" i="2" s="1"/>
  <c r="E72" i="1"/>
  <c r="E77" i="1"/>
  <c r="B89" i="2"/>
  <c r="C89" i="2" s="1"/>
  <c r="E80" i="1"/>
  <c r="E85" i="1"/>
  <c r="B97" i="2"/>
  <c r="C97" i="2" s="1"/>
  <c r="E88" i="1"/>
  <c r="E93" i="1"/>
  <c r="B105" i="2"/>
  <c r="C105" i="2" s="1"/>
  <c r="E96" i="1"/>
  <c r="E101" i="1"/>
  <c r="B9" i="3" l="1"/>
  <c r="B8" i="3"/>
  <c r="F13" i="2"/>
  <c r="H13" i="2"/>
  <c r="E14" i="2" l="1"/>
  <c r="D15" i="2"/>
  <c r="E15" i="2" s="1"/>
  <c r="D16" i="2" l="1"/>
  <c r="E16" i="2" s="1"/>
  <c r="H14" i="2"/>
  <c r="F14" i="2"/>
  <c r="H15" i="2"/>
  <c r="F15" i="2"/>
  <c r="D17" i="2" l="1"/>
  <c r="E17" i="2" s="1"/>
  <c r="H16" i="2"/>
  <c r="F16" i="2"/>
  <c r="D18" i="2" l="1"/>
  <c r="E18" i="2" s="1"/>
  <c r="F17" i="2"/>
  <c r="H17" i="2"/>
  <c r="D19" i="2" l="1"/>
  <c r="E19" i="2" s="1"/>
  <c r="F18" i="2"/>
  <c r="H18" i="2"/>
  <c r="D20" i="2" l="1"/>
  <c r="E20" i="2" s="1"/>
  <c r="D21" i="2"/>
  <c r="H19" i="2"/>
  <c r="F19" i="2"/>
  <c r="E21" i="2" l="1"/>
  <c r="D22" i="2"/>
  <c r="H20" i="2"/>
  <c r="F20" i="2"/>
  <c r="E22" i="2" l="1"/>
  <c r="D23" i="2"/>
  <c r="F21" i="2"/>
  <c r="H21" i="2"/>
  <c r="E23" i="2" l="1"/>
  <c r="D24" i="2"/>
  <c r="F22" i="2"/>
  <c r="H22" i="2"/>
  <c r="E24" i="2" l="1"/>
  <c r="D25" i="2"/>
  <c r="H23" i="2"/>
  <c r="F23" i="2"/>
  <c r="E25" i="2" l="1"/>
  <c r="D26" i="2"/>
  <c r="H24" i="2"/>
  <c r="F24" i="2"/>
  <c r="E26" i="2" l="1"/>
  <c r="D27" i="2"/>
  <c r="F25" i="2"/>
  <c r="H25" i="2"/>
  <c r="E27" i="2" l="1"/>
  <c r="D28" i="2"/>
  <c r="F26" i="2"/>
  <c r="H26" i="2"/>
  <c r="E28" i="2" l="1"/>
  <c r="D29" i="2"/>
  <c r="H27" i="2"/>
  <c r="F27" i="2"/>
  <c r="E29" i="2" l="1"/>
  <c r="D30" i="2"/>
  <c r="H28" i="2"/>
  <c r="F28" i="2"/>
  <c r="E30" i="2" l="1"/>
  <c r="D31" i="2"/>
  <c r="F29" i="2"/>
  <c r="H29" i="2"/>
  <c r="E31" i="2" l="1"/>
  <c r="D32" i="2"/>
  <c r="F30" i="2"/>
  <c r="H30" i="2"/>
  <c r="E32" i="2" l="1"/>
  <c r="D33" i="2"/>
  <c r="H31" i="2"/>
  <c r="F31" i="2"/>
  <c r="E33" i="2" l="1"/>
  <c r="D34" i="2"/>
  <c r="H32" i="2"/>
  <c r="F32" i="2"/>
  <c r="E34" i="2" l="1"/>
  <c r="D35" i="2"/>
  <c r="F33" i="2"/>
  <c r="H33" i="2"/>
  <c r="E35" i="2" l="1"/>
  <c r="D36" i="2"/>
  <c r="F34" i="2"/>
  <c r="H34" i="2"/>
  <c r="E36" i="2" l="1"/>
  <c r="D37" i="2"/>
  <c r="H35" i="2"/>
  <c r="F35" i="2"/>
  <c r="E37" i="2" l="1"/>
  <c r="D38" i="2"/>
  <c r="H36" i="2"/>
  <c r="F36" i="2"/>
  <c r="E38" i="2" l="1"/>
  <c r="D39" i="2"/>
  <c r="F37" i="2"/>
  <c r="H37" i="2"/>
  <c r="E39" i="2" l="1"/>
  <c r="D40" i="2"/>
  <c r="F38" i="2"/>
  <c r="H38" i="2"/>
  <c r="E40" i="2" l="1"/>
  <c r="D41" i="2"/>
  <c r="H39" i="2"/>
  <c r="F39" i="2"/>
  <c r="E41" i="2" l="1"/>
  <c r="D42" i="2"/>
  <c r="H40" i="2"/>
  <c r="F40" i="2"/>
  <c r="E42" i="2" l="1"/>
  <c r="D43" i="2"/>
  <c r="F41" i="2"/>
  <c r="H41" i="2"/>
  <c r="E43" i="2" l="1"/>
  <c r="D44" i="2"/>
  <c r="F42" i="2"/>
  <c r="H42" i="2"/>
  <c r="E44" i="2" l="1"/>
  <c r="D45" i="2"/>
  <c r="F43" i="2"/>
  <c r="H43" i="2"/>
  <c r="E45" i="2" l="1"/>
  <c r="D46" i="2"/>
  <c r="H44" i="2"/>
  <c r="F44" i="2"/>
  <c r="E46" i="2" l="1"/>
  <c r="D47" i="2"/>
  <c r="H45" i="2"/>
  <c r="F45" i="2"/>
  <c r="E47" i="2" l="1"/>
  <c r="D48" i="2"/>
  <c r="F46" i="2"/>
  <c r="H46" i="2"/>
  <c r="E48" i="2" l="1"/>
  <c r="D49" i="2"/>
  <c r="F47" i="2"/>
  <c r="H47" i="2"/>
  <c r="E49" i="2" l="1"/>
  <c r="D50" i="2"/>
  <c r="H48" i="2"/>
  <c r="F48" i="2"/>
  <c r="E50" i="2" l="1"/>
  <c r="D51" i="2"/>
  <c r="H49" i="2"/>
  <c r="F49" i="2"/>
  <c r="E51" i="2" l="1"/>
  <c r="D52" i="2"/>
  <c r="F50" i="2"/>
  <c r="H50" i="2"/>
  <c r="E52" i="2" l="1"/>
  <c r="D53" i="2"/>
  <c r="F51" i="2"/>
  <c r="H51" i="2"/>
  <c r="E53" i="2" l="1"/>
  <c r="D54" i="2"/>
  <c r="H52" i="2"/>
  <c r="F52" i="2"/>
  <c r="E54" i="2" l="1"/>
  <c r="D55" i="2"/>
  <c r="H53" i="2"/>
  <c r="F53" i="2"/>
  <c r="E55" i="2" l="1"/>
  <c r="D56" i="2"/>
  <c r="F54" i="2"/>
  <c r="H54" i="2"/>
  <c r="E56" i="2" l="1"/>
  <c r="D57" i="2"/>
  <c r="F55" i="2"/>
  <c r="H55" i="2"/>
  <c r="E57" i="2" l="1"/>
  <c r="D58" i="2"/>
  <c r="H56" i="2"/>
  <c r="F56" i="2"/>
  <c r="E58" i="2" l="1"/>
  <c r="D59" i="2"/>
  <c r="H57" i="2"/>
  <c r="F57" i="2"/>
  <c r="E59" i="2" l="1"/>
  <c r="D60" i="2"/>
  <c r="F58" i="2"/>
  <c r="H58" i="2"/>
  <c r="E60" i="2" l="1"/>
  <c r="D61" i="2"/>
  <c r="F59" i="2"/>
  <c r="H59" i="2"/>
  <c r="E61" i="2" l="1"/>
  <c r="D62" i="2"/>
  <c r="H60" i="2"/>
  <c r="F60" i="2"/>
  <c r="E62" i="2" l="1"/>
  <c r="D63" i="2"/>
  <c r="F61" i="2"/>
  <c r="H61" i="2"/>
  <c r="E63" i="2" l="1"/>
  <c r="D64" i="2"/>
  <c r="F62" i="2"/>
  <c r="H62" i="2"/>
  <c r="E64" i="2" l="1"/>
  <c r="D65" i="2"/>
  <c r="H63" i="2"/>
  <c r="F63" i="2"/>
  <c r="E65" i="2" l="1"/>
  <c r="D66" i="2"/>
  <c r="H64" i="2"/>
  <c r="F64" i="2"/>
  <c r="E66" i="2" l="1"/>
  <c r="D67" i="2"/>
  <c r="H65" i="2"/>
  <c r="F65" i="2"/>
  <c r="E67" i="2" l="1"/>
  <c r="D68" i="2"/>
  <c r="F66" i="2"/>
  <c r="H66" i="2"/>
  <c r="E68" i="2" l="1"/>
  <c r="D69" i="2"/>
  <c r="F67" i="2"/>
  <c r="H67" i="2"/>
  <c r="E69" i="2" l="1"/>
  <c r="D70" i="2"/>
  <c r="H68" i="2"/>
  <c r="F68" i="2"/>
  <c r="E70" i="2" l="1"/>
  <c r="D71" i="2"/>
  <c r="F69" i="2"/>
  <c r="H69" i="2"/>
  <c r="E71" i="2" l="1"/>
  <c r="D72" i="2"/>
  <c r="F70" i="2"/>
  <c r="H70" i="2"/>
  <c r="E72" i="2" l="1"/>
  <c r="D73" i="2"/>
  <c r="H71" i="2"/>
  <c r="F71" i="2"/>
  <c r="E73" i="2" l="1"/>
  <c r="D74" i="2"/>
  <c r="H72" i="2"/>
  <c r="F72" i="2"/>
  <c r="E74" i="2" l="1"/>
  <c r="D75" i="2"/>
  <c r="H73" i="2"/>
  <c r="F73" i="2"/>
  <c r="E75" i="2" l="1"/>
  <c r="D76" i="2"/>
  <c r="F74" i="2"/>
  <c r="H74" i="2"/>
  <c r="E76" i="2" l="1"/>
  <c r="D77" i="2"/>
  <c r="F75" i="2"/>
  <c r="H75" i="2"/>
  <c r="E77" i="2" l="1"/>
  <c r="D78" i="2"/>
  <c r="H76" i="2"/>
  <c r="F76" i="2"/>
  <c r="E78" i="2" l="1"/>
  <c r="D79" i="2"/>
  <c r="F77" i="2"/>
  <c r="H77" i="2"/>
  <c r="E79" i="2" l="1"/>
  <c r="D80" i="2"/>
  <c r="F78" i="2"/>
  <c r="H78" i="2"/>
  <c r="E80" i="2" l="1"/>
  <c r="D81" i="2"/>
  <c r="H79" i="2"/>
  <c r="F79" i="2"/>
  <c r="H80" i="2" l="1"/>
  <c r="F80" i="2"/>
  <c r="E81" i="2"/>
  <c r="D82" i="2"/>
  <c r="E82" i="2" l="1"/>
  <c r="D83" i="2"/>
  <c r="H81" i="2"/>
  <c r="F81" i="2"/>
  <c r="E83" i="2" l="1"/>
  <c r="D84" i="2"/>
  <c r="F82" i="2"/>
  <c r="H82" i="2"/>
  <c r="E84" i="2" l="1"/>
  <c r="D85" i="2"/>
  <c r="F83" i="2"/>
  <c r="H83" i="2"/>
  <c r="H84" i="2" l="1"/>
  <c r="F84" i="2"/>
  <c r="E85" i="2"/>
  <c r="D86" i="2"/>
  <c r="E86" i="2" l="1"/>
  <c r="D87" i="2"/>
  <c r="F85" i="2"/>
  <c r="H85" i="2"/>
  <c r="E87" i="2" l="1"/>
  <c r="D88" i="2"/>
  <c r="F86" i="2"/>
  <c r="H86" i="2"/>
  <c r="E88" i="2" l="1"/>
  <c r="D89" i="2"/>
  <c r="H87" i="2"/>
  <c r="F87" i="2"/>
  <c r="E89" i="2" l="1"/>
  <c r="D90" i="2"/>
  <c r="H88" i="2"/>
  <c r="F88" i="2"/>
  <c r="E90" i="2" l="1"/>
  <c r="D91" i="2"/>
  <c r="H89" i="2"/>
  <c r="F89" i="2"/>
  <c r="E91" i="2" l="1"/>
  <c r="D92" i="2"/>
  <c r="F90" i="2"/>
  <c r="H90" i="2"/>
  <c r="E92" i="2" l="1"/>
  <c r="D93" i="2"/>
  <c r="F91" i="2"/>
  <c r="H91" i="2"/>
  <c r="E93" i="2" l="1"/>
  <c r="D94" i="2"/>
  <c r="H92" i="2"/>
  <c r="F92" i="2"/>
  <c r="E94" i="2" l="1"/>
  <c r="D95" i="2"/>
  <c r="F93" i="2"/>
  <c r="H93" i="2"/>
  <c r="E95" i="2" l="1"/>
  <c r="D96" i="2"/>
  <c r="F94" i="2"/>
  <c r="H94" i="2"/>
  <c r="E96" i="2" l="1"/>
  <c r="D97" i="2"/>
  <c r="H95" i="2"/>
  <c r="F95" i="2"/>
  <c r="E97" i="2" l="1"/>
  <c r="D98" i="2"/>
  <c r="H96" i="2"/>
  <c r="F96" i="2"/>
  <c r="E98" i="2" l="1"/>
  <c r="D99" i="2"/>
  <c r="H97" i="2"/>
  <c r="F97" i="2"/>
  <c r="E99" i="2" l="1"/>
  <c r="D100" i="2"/>
  <c r="F98" i="2"/>
  <c r="H98" i="2"/>
  <c r="E100" i="2" l="1"/>
  <c r="D101" i="2"/>
  <c r="F99" i="2"/>
  <c r="H99" i="2"/>
  <c r="E101" i="2" l="1"/>
  <c r="D102" i="2"/>
  <c r="H100" i="2"/>
  <c r="F100" i="2"/>
  <c r="E102" i="2" l="1"/>
  <c r="D103" i="2"/>
  <c r="E103" i="2" s="1"/>
  <c r="F101" i="2"/>
  <c r="H101" i="2"/>
  <c r="D104" i="2" l="1"/>
  <c r="F102" i="2"/>
  <c r="H102" i="2"/>
  <c r="E104" i="2" l="1"/>
  <c r="D105" i="2"/>
  <c r="H103" i="2"/>
  <c r="F103" i="2"/>
  <c r="E105" i="2" l="1"/>
  <c r="D106" i="2"/>
  <c r="H104" i="2"/>
  <c r="F104" i="2"/>
  <c r="E106" i="2" l="1"/>
  <c r="D107" i="2"/>
  <c r="F105" i="2"/>
  <c r="H105" i="2"/>
  <c r="E107" i="2" l="1"/>
  <c r="D108" i="2"/>
  <c r="H106" i="2"/>
  <c r="F106" i="2"/>
  <c r="E108" i="2" l="1"/>
  <c r="D109" i="2"/>
  <c r="H107" i="2"/>
  <c r="F107" i="2"/>
  <c r="E109" i="2" l="1"/>
  <c r="D110" i="2"/>
  <c r="F108" i="2"/>
  <c r="H108" i="2"/>
  <c r="E110" i="2" l="1"/>
  <c r="D111" i="2"/>
  <c r="F109" i="2"/>
  <c r="H109" i="2"/>
  <c r="E111" i="2" l="1"/>
  <c r="D112" i="2"/>
  <c r="E112" i="2" s="1"/>
  <c r="B10" i="3" s="1"/>
  <c r="H110" i="2"/>
  <c r="F110" i="2"/>
  <c r="F112" i="2" l="1"/>
  <c r="H112" i="2"/>
  <c r="B11" i="3"/>
  <c r="B12" i="3"/>
  <c r="H111" i="2"/>
  <c r="F111" i="2"/>
</calcChain>
</file>

<file path=xl/sharedStrings.xml><?xml version="1.0" encoding="utf-8"?>
<sst xmlns="http://schemas.openxmlformats.org/spreadsheetml/2006/main" count="156" uniqueCount="154">
  <si>
    <t>t</t>
  </si>
  <si>
    <t>Precio</t>
  </si>
  <si>
    <t>Estadísticos de los retornos</t>
  </si>
  <si>
    <t>N (retornos)</t>
  </si>
  <si>
    <t>Media</t>
  </si>
  <si>
    <t>Desv. estándar</t>
  </si>
  <si>
    <t>Varianza muestral</t>
  </si>
  <si>
    <t>Curtosis</t>
  </si>
  <si>
    <t>Mínimo</t>
  </si>
  <si>
    <t>Máximo</t>
  </si>
  <si>
    <t>ω (omega) — nivel base</t>
  </si>
  <si>
    <t>α₁ (ARCH) — reacción al choque</t>
  </si>
  <si>
    <t>β₁ (GARCH) — persistencia</t>
  </si>
  <si>
    <t>Persistencia (α₁+β₁)</t>
  </si>
  <si>
    <t>Varianza incondicional ω/(1-α₁-β₁)</t>
  </si>
  <si>
    <t>Volatilidad incondicional diaria</t>
  </si>
  <si>
    <t>σ²t (varianza cond.)</t>
  </si>
  <si>
    <t>σt (volatilidad)</t>
  </si>
  <si>
    <t>σt anualizada</t>
  </si>
  <si>
    <t>zt (shock N(0,1))</t>
  </si>
  <si>
    <t>ŷt simulado = σt·zt</t>
  </si>
  <si>
    <t>KPIs del modelo</t>
  </si>
  <si>
    <t>ω</t>
  </si>
  <si>
    <t>α₁</t>
  </si>
  <si>
    <t>β₁</t>
  </si>
  <si>
    <t>Persistencia α₁+β₁</t>
  </si>
  <si>
    <t>Volatilidad incondicional anualizada</t>
  </si>
  <si>
    <t>Volatilidad media simulada</t>
  </si>
  <si>
    <t>Volatilidad máxima simulada</t>
  </si>
  <si>
    <t>Volatilidad mínima simulada</t>
  </si>
  <si>
    <t>Diagnóstico</t>
  </si>
  <si>
    <t>Estacionariedad</t>
  </si>
  <si>
    <t>Persistencia de la volatilidad</t>
  </si>
  <si>
    <t>Componente dominante</t>
  </si>
  <si>
    <t>Rango de parámetros vs. literatura</t>
  </si>
  <si>
    <t>Volatilidad de largo plazo</t>
  </si>
  <si>
    <t>DATOS - Precios y retornos logarítmicos</t>
  </si>
  <si>
    <t>INTERPRETACIEN</t>
  </si>
  <si>
    <t>2026-02-13</t>
  </si>
  <si>
    <t>2026-02-17</t>
  </si>
  <si>
    <t>2026-02-18</t>
  </si>
  <si>
    <t>2026-02-19</t>
  </si>
  <si>
    <t>2026-02-20</t>
  </si>
  <si>
    <t>2026-02-23</t>
  </si>
  <si>
    <t>2026-02-24</t>
  </si>
  <si>
    <t>2026-02-25</t>
  </si>
  <si>
    <t>2026-02-26</t>
  </si>
  <si>
    <t>2026-02-27</t>
  </si>
  <si>
    <t>2026-03-02</t>
  </si>
  <si>
    <t>2026-03-03</t>
  </si>
  <si>
    <t>2026-03-04</t>
  </si>
  <si>
    <t>2026-03-05</t>
  </si>
  <si>
    <t>2026-03-06</t>
  </si>
  <si>
    <t>2026-03-09</t>
  </si>
  <si>
    <t>2026-03-10</t>
  </si>
  <si>
    <t>2026-03-11</t>
  </si>
  <si>
    <t>2026-03-12</t>
  </si>
  <si>
    <t>2026-03-13</t>
  </si>
  <si>
    <t>2026-03-16</t>
  </si>
  <si>
    <t>2026-03-17</t>
  </si>
  <si>
    <t>2026-03-18</t>
  </si>
  <si>
    <t>2026-03-19</t>
  </si>
  <si>
    <t>2026-03-20</t>
  </si>
  <si>
    <t>2026-03-23</t>
  </si>
  <si>
    <t>2026-03-24</t>
  </si>
  <si>
    <t>2026-03-25</t>
  </si>
  <si>
    <t>2026-03-26</t>
  </si>
  <si>
    <t>2026-03-27</t>
  </si>
  <si>
    <t>2026-03-30</t>
  </si>
  <si>
    <t>2026-03-31</t>
  </si>
  <si>
    <t>2026-04-01</t>
  </si>
  <si>
    <t>2026-04-02</t>
  </si>
  <si>
    <t>2026-04-06</t>
  </si>
  <si>
    <t>2026-04-07</t>
  </si>
  <si>
    <t>2026-04-08</t>
  </si>
  <si>
    <t>2026-04-09</t>
  </si>
  <si>
    <t>2026-04-10</t>
  </si>
  <si>
    <t>2026-04-13</t>
  </si>
  <si>
    <t>2026-04-14</t>
  </si>
  <si>
    <t>2026-04-15</t>
  </si>
  <si>
    <t>2026-04-16</t>
  </si>
  <si>
    <t>2026-04-17</t>
  </si>
  <si>
    <t>2026-04-20</t>
  </si>
  <si>
    <t>2026-04-21</t>
  </si>
  <si>
    <t>2026-04-22</t>
  </si>
  <si>
    <t>2026-04-23</t>
  </si>
  <si>
    <t>2026-04-24</t>
  </si>
  <si>
    <t>2026-04-27</t>
  </si>
  <si>
    <t>2026-04-28</t>
  </si>
  <si>
    <t>2026-04-29</t>
  </si>
  <si>
    <t>2026-04-30</t>
  </si>
  <si>
    <t>2026-05-01</t>
  </si>
  <si>
    <t>2026-05-04</t>
  </si>
  <si>
    <t>2026-05-05</t>
  </si>
  <si>
    <t>2026-05-06</t>
  </si>
  <si>
    <t>2026-05-07</t>
  </si>
  <si>
    <t>2026-05-08</t>
  </si>
  <si>
    <t>2026-05-11</t>
  </si>
  <si>
    <t>2026-05-12</t>
  </si>
  <si>
    <t>2026-05-13</t>
  </si>
  <si>
    <t>2026-05-14</t>
  </si>
  <si>
    <t>2026-05-15</t>
  </si>
  <si>
    <t>2026-05-18</t>
  </si>
  <si>
    <t>2026-05-19</t>
  </si>
  <si>
    <t>2026-05-20</t>
  </si>
  <si>
    <t>2026-05-21</t>
  </si>
  <si>
    <t>2026-05-22</t>
  </si>
  <si>
    <t>2026-05-26</t>
  </si>
  <si>
    <t>2026-05-27</t>
  </si>
  <si>
    <t>2026-05-28</t>
  </si>
  <si>
    <t>2026-05-29</t>
  </si>
  <si>
    <t>2026-06-01</t>
  </si>
  <si>
    <t>2026-06-02</t>
  </si>
  <si>
    <t>2026-06-03</t>
  </si>
  <si>
    <t>2026-06-04</t>
  </si>
  <si>
    <t>2026-06-05</t>
  </si>
  <si>
    <t>2026-06-08</t>
  </si>
  <si>
    <t>2026-06-09</t>
  </si>
  <si>
    <t>2026-06-10</t>
  </si>
  <si>
    <t>2026-06-11</t>
  </si>
  <si>
    <t>2026-06-12</t>
  </si>
  <si>
    <t>2026-06-15</t>
  </si>
  <si>
    <t>2026-06-16</t>
  </si>
  <si>
    <t>2026-06-17</t>
  </si>
  <si>
    <t>2026-06-18</t>
  </si>
  <si>
    <t>2026-06-22</t>
  </si>
  <si>
    <t>2026-06-23</t>
  </si>
  <si>
    <t>2026-06-24</t>
  </si>
  <si>
    <t>2026-06-25</t>
  </si>
  <si>
    <t>2026-06-26</t>
  </si>
  <si>
    <t>2026-06-29</t>
  </si>
  <si>
    <t>2026-06-30</t>
  </si>
  <si>
    <t>2026-07-01</t>
  </si>
  <si>
    <t>2026-07-02</t>
  </si>
  <si>
    <t>2026-07-06</t>
  </si>
  <si>
    <t>2026-07-07</t>
  </si>
  <si>
    <t>2026-07-08</t>
  </si>
  <si>
    <t>2026-07-09</t>
  </si>
  <si>
    <t>2026-07-10</t>
  </si>
  <si>
    <t>Fecha</t>
  </si>
  <si>
    <t>Parámetros</t>
  </si>
  <si>
    <t>El modelo GARCH muestra que la volatilidad tiene alta persistencia porque α₁+β₁ es 0.95, los shocks afectan al mercado y sus efectos desaparecen lentamente y la volatilidad esperada es aproximadamente 1.55% diaria y 24.59% anual, mientras que la simulación confirma que el riesgo varía entre periodos."</t>
  </si>
  <si>
    <t>Graficas - GARCH</t>
  </si>
  <si>
    <t>Los estadísticos descriptivos muestran el comportamiento de los retornos: la muestra contiene 100 observaciones, con un retorno promedio bajo (0.10% diario) y una volatilidad diaria de 0.91%. La curtosis positiva (0.94) indica presencia de movimientos extremos, evidenciando que la volatilidad no es constante</t>
  </si>
  <si>
    <t>Retorno log. rt = LN(Pt / Pt-1)</t>
  </si>
  <si>
    <t>rt (%)</t>
  </si>
  <si>
    <t xml:space="preserve">En muchas aplicaciones financieras se observan valores como:
• ω entre 0.000001 y 0.000050 
• α entre 0.05 y 0.20 
• β entre 0.75 y 0.95 
</t>
  </si>
  <si>
    <t>rt (real, H-D)</t>
  </si>
  <si>
    <t>MODELO GARCH - σ²t = ω + α₁ε²t-1 + β₁σ²t-1</t>
  </si>
  <si>
    <t>ε²t</t>
  </si>
  <si>
    <r>
      <t xml:space="preserve">p : indica que la volatilidad es alta y que los shocks del mercado permanecen durante varios periodos
</t>
    </r>
    <r>
      <rPr>
        <sz val="11"/>
        <color rgb="FF0070C0"/>
        <rFont val="Calibri"/>
        <family val="2"/>
      </rPr>
      <t>vi : representa el nivel promedio de riesgo esperado en el largo plazo</t>
    </r>
    <r>
      <rPr>
        <sz val="11"/>
        <color rgb="FFFF0000"/>
        <rFont val="Calibri"/>
        <family val="2"/>
        <charset val="1"/>
      </rPr>
      <t xml:space="preserve">
vd : muestra que el activo puede variar aproximadamente 1.55% por día en promedio</t>
    </r>
  </si>
  <si>
    <t>La línea azul muestra los retornos reales y la roja los simulados por GARCH. Ambos tienen una magnitud similar, mostrando que el modelo reproduce correctamente el nivel de variación del activo, no se busca predecir el movimiento exacto de cada día, sino la escala de volatilidad</t>
  </si>
  <si>
    <t>Muestra cómo cambia la volatilidad en el tiempo, se observan periodos de calma y aumentos de volatilidad después de shocks grandes, esto demuestra la persistencia del modelo GARCH (α1+β1=0.95), donde los efectos de un impacto no desaparecen inmediatamente</t>
  </si>
  <si>
    <t>Existe volatilidad y heterocedasticidad condicional, ya que el riesgo cambia a través del tiempo, el modelo GARCH confirma que los shocks afectan la volatilidad y sus efectos permanecen durante varios periodos (α1+β1=0.95)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</si>
</sst>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5" formatCode="0.000000"/>
    <numFmt numFmtId="166" formatCode="0.000"/>
    <numFmt numFmtId="167" formatCode="0.0000"/>
    <numFmt numFmtId="168" formatCode="0.0000000"/>
  </numFmts>
  <fonts count="14" x14ac:knownFonts="1">
    <font>
      <sz val="11"/>
      <color theme="1"/>
      <name val="Calibri"/>
      <family val="2"/>
      <charset val="1"/>
    </font>
    <font>
      <b/>
      <sz val="16"/>
      <color rgb="FFFFFFFF"/>
      <name val="Arial"/>
      <family val="2"/>
    </font>
    <font>
      <sz val="11"/>
      <color rgb="FF000000"/>
      <name val="Arial"/>
      <family val="2"/>
    </font>
    <font>
      <b/>
      <sz val="11"/>
      <color rgb="FF1F3864"/>
      <name val="Arial"/>
      <family val="2"/>
    </font>
    <font>
      <b/>
      <sz val="11"/>
      <name val="Arial"/>
      <family val="2"/>
    </font>
    <font>
      <sz val="11"/>
      <color rgb="FF008000"/>
      <name val="Arial"/>
      <family val="2"/>
    </font>
    <font>
      <b/>
      <sz val="16"/>
      <color rgb="FFFFFF00"/>
      <name val="Arial"/>
      <family val="2"/>
    </font>
    <font>
      <b/>
      <sz val="11"/>
      <color rgb="FFFFFF00"/>
      <name val="Arial"/>
      <family val="2"/>
    </font>
    <font>
      <sz val="11"/>
      <color theme="1"/>
      <name val="Arial"/>
      <family val="2"/>
    </font>
    <font>
      <b/>
      <sz val="11"/>
      <color theme="1"/>
      <name val="Arial"/>
      <family val="2"/>
    </font>
    <font>
      <sz val="11"/>
      <color rgb="FFFF0000"/>
      <name val="Arial"/>
      <family val="2"/>
    </font>
    <font>
      <b/>
      <sz val="11"/>
      <color rgb="FFFF0000"/>
      <name val="Arial"/>
      <family val="2"/>
    </font>
    <font>
      <sz val="11"/>
      <color rgb="FFFF0000"/>
      <name val="Calibri"/>
      <family val="2"/>
      <charset val="1"/>
    </font>
    <font>
      <sz val="11"/>
      <color rgb="FF0070C0"/>
      <name val="Calibri"/>
      <family val="2"/>
    </font>
  </fonts>
  <fills count="9">
    <fill>
      <patternFill patternType="none"/>
    </fill>
    <fill>
      <patternFill patternType="gray125"/>
    </fill>
    <fill>
      <patternFill patternType="solid">
        <fgColor rgb="FF1F3864"/>
        <bgColor rgb="FF333333"/>
      </patternFill>
    </fill>
    <fill>
      <patternFill patternType="solid">
        <fgColor rgb="FF2E5395"/>
        <bgColor rgb="FF1F3864"/>
      </patternFill>
    </fill>
    <fill>
      <patternFill patternType="solid">
        <fgColor rgb="FFD9E1F2"/>
        <bgColor rgb="FFD9D9D9"/>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4" tint="-0.249977111117893"/>
        <bgColor rgb="FF1F3864"/>
      </patternFill>
    </fill>
  </fills>
  <borders count="45">
    <border>
      <left/>
      <right/>
      <top/>
      <bottom/>
      <diagonal/>
    </border>
    <border>
      <left style="thin">
        <color rgb="FFBFBFBF"/>
      </left>
      <right style="thin">
        <color rgb="FFBFBFBF"/>
      </right>
      <top style="thin">
        <color rgb="FFBFBFBF"/>
      </top>
      <bottom style="thin">
        <color rgb="FFBFBFB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rgb="FFBFBFBF"/>
      </bottom>
      <diagonal/>
    </border>
    <border>
      <left style="medium">
        <color indexed="64"/>
      </left>
      <right/>
      <top style="thin">
        <color rgb="FFBFBFBF"/>
      </top>
      <bottom style="thin">
        <color rgb="FFBFBFBF"/>
      </bottom>
      <diagonal/>
    </border>
    <border>
      <left style="medium">
        <color indexed="64"/>
      </left>
      <right/>
      <top style="thin">
        <color rgb="FFBFBFBF"/>
      </top>
      <bottom style="medium">
        <color indexed="64"/>
      </bottom>
      <diagonal/>
    </border>
    <border>
      <left/>
      <right/>
      <top style="thin">
        <color rgb="FFBFBFBF"/>
      </top>
      <bottom style="thin">
        <color rgb="FFBFBFBF"/>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style="thin">
        <color rgb="FFBFBFBF"/>
      </bottom>
      <diagonal/>
    </border>
    <border>
      <left style="medium">
        <color theme="1"/>
      </left>
      <right style="medium">
        <color theme="1"/>
      </right>
      <top style="thin">
        <color rgb="FFBFBFBF"/>
      </top>
      <bottom style="thin">
        <color rgb="FFBFBFBF"/>
      </bottom>
      <diagonal/>
    </border>
    <border>
      <left style="medium">
        <color theme="1"/>
      </left>
      <right style="medium">
        <color theme="1"/>
      </right>
      <top style="thin">
        <color rgb="FFBFBFBF"/>
      </top>
      <bottom style="medium">
        <color theme="1"/>
      </bottom>
      <diagonal/>
    </border>
    <border>
      <left style="medium">
        <color theme="1"/>
      </left>
      <right style="medium">
        <color theme="1"/>
      </right>
      <top/>
      <bottom style="thin">
        <color rgb="FFBFBFBF"/>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top/>
      <bottom style="thin">
        <color rgb="FFBFBFBF"/>
      </bottom>
      <diagonal/>
    </border>
    <border>
      <left style="medium">
        <color theme="1"/>
      </left>
      <right style="medium">
        <color theme="1"/>
      </right>
      <top style="medium">
        <color theme="1"/>
      </top>
      <bottom/>
      <diagonal/>
    </border>
    <border>
      <left/>
      <right style="medium">
        <color theme="1"/>
      </right>
      <top style="medium">
        <color theme="1"/>
      </top>
      <bottom style="medium">
        <color theme="1"/>
      </bottom>
      <diagonal/>
    </border>
    <border>
      <left style="medium">
        <color theme="1"/>
      </left>
      <right style="thin">
        <color rgb="FFBFBFBF"/>
      </right>
      <top style="medium">
        <color theme="1"/>
      </top>
      <bottom style="thin">
        <color rgb="FFBFBFBF"/>
      </bottom>
      <diagonal/>
    </border>
    <border>
      <left style="thin">
        <color rgb="FFBFBFBF"/>
      </left>
      <right style="thin">
        <color rgb="FFBFBFBF"/>
      </right>
      <top style="medium">
        <color theme="1"/>
      </top>
      <bottom style="thin">
        <color rgb="FFBFBFBF"/>
      </bottom>
      <diagonal/>
    </border>
    <border>
      <left style="thin">
        <color rgb="FFBFBFBF"/>
      </left>
      <right style="medium">
        <color theme="1"/>
      </right>
      <top style="medium">
        <color theme="1"/>
      </top>
      <bottom style="thin">
        <color rgb="FFBFBFBF"/>
      </bottom>
      <diagonal/>
    </border>
    <border>
      <left style="medium">
        <color theme="1"/>
      </left>
      <right style="thin">
        <color rgb="FFBFBFBF"/>
      </right>
      <top style="thin">
        <color rgb="FFBFBFBF"/>
      </top>
      <bottom style="thin">
        <color rgb="FFBFBFBF"/>
      </bottom>
      <diagonal/>
    </border>
    <border>
      <left style="thin">
        <color rgb="FFBFBFBF"/>
      </left>
      <right style="medium">
        <color theme="1"/>
      </right>
      <top style="thin">
        <color rgb="FFBFBFBF"/>
      </top>
      <bottom style="thin">
        <color rgb="FFBFBFBF"/>
      </bottom>
      <diagonal/>
    </border>
    <border>
      <left style="medium">
        <color theme="1"/>
      </left>
      <right style="thin">
        <color rgb="FFBFBFBF"/>
      </right>
      <top style="thin">
        <color rgb="FFBFBFBF"/>
      </top>
      <bottom style="medium">
        <color theme="1"/>
      </bottom>
      <diagonal/>
    </border>
    <border>
      <left style="thin">
        <color rgb="FFBFBFBF"/>
      </left>
      <right style="thin">
        <color rgb="FFBFBFBF"/>
      </right>
      <top style="thin">
        <color rgb="FFBFBFBF"/>
      </top>
      <bottom style="medium">
        <color theme="1"/>
      </bottom>
      <diagonal/>
    </border>
    <border>
      <left style="thin">
        <color rgb="FFBFBFBF"/>
      </left>
      <right style="medium">
        <color theme="1"/>
      </right>
      <top style="thin">
        <color rgb="FFBFBFBF"/>
      </top>
      <bottom style="medium">
        <color theme="1"/>
      </bottom>
      <diagonal/>
    </border>
    <border>
      <left style="medium">
        <color theme="1"/>
      </left>
      <right style="thin">
        <color rgb="FFBFBFBF"/>
      </right>
      <top style="medium">
        <color theme="1"/>
      </top>
      <bottom style="medium">
        <color theme="1"/>
      </bottom>
      <diagonal/>
    </border>
    <border>
      <left style="thin">
        <color rgb="FFBFBFBF"/>
      </left>
      <right/>
      <top style="medium">
        <color theme="1"/>
      </top>
      <bottom style="medium">
        <color theme="1"/>
      </bottom>
      <diagonal/>
    </border>
    <border>
      <left/>
      <right/>
      <top style="thin">
        <color rgb="FFBFBFBF"/>
      </top>
      <bottom style="medium">
        <color theme="1"/>
      </bottom>
      <diagonal/>
    </border>
    <border>
      <left/>
      <right style="medium">
        <color theme="1"/>
      </right>
      <top/>
      <bottom style="thin">
        <color rgb="FFBFBFBF"/>
      </bottom>
      <diagonal/>
    </border>
    <border>
      <left/>
      <right style="medium">
        <color theme="1"/>
      </right>
      <top style="thin">
        <color rgb="FFBFBFBF"/>
      </top>
      <bottom style="thin">
        <color rgb="FFBFBFBF"/>
      </bottom>
      <diagonal/>
    </border>
    <border>
      <left/>
      <right style="medium">
        <color theme="1"/>
      </right>
      <top style="thin">
        <color rgb="FFBFBFBF"/>
      </top>
      <bottom style="medium">
        <color theme="1"/>
      </bottom>
      <diagonal/>
    </border>
    <border>
      <left style="medium">
        <color theme="1"/>
      </left>
      <right/>
      <top style="medium">
        <color theme="1"/>
      </top>
      <bottom style="thin">
        <color theme="1"/>
      </bottom>
      <diagonal/>
    </border>
    <border>
      <left style="medium">
        <color theme="1"/>
      </left>
      <right/>
      <top style="thin">
        <color theme="1"/>
      </top>
      <bottom style="thin">
        <color theme="1"/>
      </bottom>
      <diagonal/>
    </border>
    <border>
      <left style="medium">
        <color theme="1"/>
      </left>
      <right/>
      <top style="thin">
        <color theme="1"/>
      </top>
      <bottom style="medium">
        <color theme="1"/>
      </bottom>
      <diagonal/>
    </border>
    <border>
      <left style="medium">
        <color theme="1"/>
      </left>
      <right style="medium">
        <color theme="1"/>
      </right>
      <top style="medium">
        <color theme="1"/>
      </top>
      <bottom style="thin">
        <color theme="1"/>
      </bottom>
      <diagonal/>
    </border>
    <border>
      <left style="medium">
        <color theme="1"/>
      </left>
      <right style="medium">
        <color theme="1"/>
      </right>
      <top style="thin">
        <color theme="1"/>
      </top>
      <bottom style="thin">
        <color theme="1"/>
      </bottom>
      <diagonal/>
    </border>
    <border>
      <left style="medium">
        <color theme="1"/>
      </left>
      <right style="medium">
        <color theme="1"/>
      </right>
      <top style="thin">
        <color theme="1"/>
      </top>
      <bottom style="medium">
        <color theme="1"/>
      </bottom>
      <diagonal/>
    </border>
    <border>
      <left style="medium">
        <color theme="1"/>
      </left>
      <right/>
      <top style="medium">
        <color theme="1"/>
      </top>
      <bottom style="thin">
        <color rgb="FFBFBFBF"/>
      </bottom>
      <diagonal/>
    </border>
    <border>
      <left style="medium">
        <color theme="1"/>
      </left>
      <right/>
      <top style="thin">
        <color rgb="FFBFBFBF"/>
      </top>
      <bottom style="thin">
        <color rgb="FFBFBFBF"/>
      </bottom>
      <diagonal/>
    </border>
    <border>
      <left style="medium">
        <color theme="1"/>
      </left>
      <right/>
      <top style="thin">
        <color rgb="FFBFBFBF"/>
      </top>
      <bottom style="medium">
        <color theme="1"/>
      </bottom>
      <diagonal/>
    </border>
    <border>
      <left style="medium">
        <color theme="1"/>
      </left>
      <right style="thin">
        <color theme="1"/>
      </right>
      <top style="medium">
        <color theme="1"/>
      </top>
      <bottom style="medium">
        <color theme="1"/>
      </bottom>
      <diagonal/>
    </border>
    <border>
      <left style="thin">
        <color theme="1"/>
      </left>
      <right style="medium">
        <color theme="1"/>
      </right>
      <top style="medium">
        <color theme="1"/>
      </top>
      <bottom style="medium">
        <color theme="1"/>
      </bottom>
      <diagonal/>
    </border>
    <border>
      <left style="medium">
        <color theme="1"/>
      </left>
      <right/>
      <top/>
      <bottom style="thin">
        <color theme="1"/>
      </bottom>
      <diagonal/>
    </border>
  </borders>
  <cellStyleXfs count="1">
    <xf numFmtId="0" fontId="0" fillId="0" borderId="0"/>
  </cellStyleXfs>
  <cellXfs count="99">
    <xf numFmtId="0" fontId="0" fillId="0" borderId="0" xfId="0"/>
    <xf numFmtId="0" fontId="2" fillId="0" borderId="1" xfId="0" applyFont="1" applyBorder="1" applyAlignment="1">
      <alignment vertical="top" wrapText="1"/>
    </xf>
    <xf numFmtId="0" fontId="1" fillId="2" borderId="0" xfId="0" applyFont="1" applyFill="1" applyBorder="1" applyAlignment="1">
      <alignment horizontal="left" vertical="center" indent="1"/>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2" fillId="5" borderId="5" xfId="0" applyFont="1" applyFill="1" applyBorder="1" applyAlignment="1">
      <alignment horizontal="center"/>
    </xf>
    <xf numFmtId="0" fontId="2" fillId="5" borderId="6" xfId="0" applyFont="1" applyFill="1" applyBorder="1" applyAlignment="1">
      <alignment horizontal="center"/>
    </xf>
    <xf numFmtId="0" fontId="2" fillId="5" borderId="7" xfId="0" applyFont="1" applyFill="1" applyBorder="1" applyAlignment="1">
      <alignment horizontal="center"/>
    </xf>
    <xf numFmtId="166" fontId="2" fillId="0" borderId="11" xfId="0" applyNumberFormat="1" applyFont="1" applyBorder="1" applyAlignment="1">
      <alignment horizontal="center"/>
    </xf>
    <xf numFmtId="166" fontId="2" fillId="0" borderId="12" xfId="0" applyNumberFormat="1" applyFont="1" applyBorder="1" applyAlignment="1">
      <alignment horizont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5" xfId="0" applyFont="1" applyFill="1" applyBorder="1" applyAlignment="1">
      <alignment horizontal="center" vertical="center"/>
    </xf>
    <xf numFmtId="0" fontId="7" fillId="3" borderId="17" xfId="0" applyFont="1" applyFill="1" applyBorder="1" applyAlignment="1">
      <alignment horizontal="center" vertical="center"/>
    </xf>
    <xf numFmtId="166" fontId="2" fillId="0" borderId="13" xfId="0" applyNumberFormat="1" applyFont="1" applyBorder="1" applyAlignment="1">
      <alignment horizontal="center"/>
    </xf>
    <xf numFmtId="0" fontId="0" fillId="0" borderId="17" xfId="0" applyBorder="1" applyAlignment="1">
      <alignment horizontal="center"/>
    </xf>
    <xf numFmtId="0" fontId="6" fillId="2" borderId="14"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8" xfId="0" applyFont="1" applyFill="1" applyBorder="1" applyAlignment="1">
      <alignment horizontal="center" vertical="center"/>
    </xf>
    <xf numFmtId="0" fontId="2" fillId="5" borderId="11" xfId="0" applyFont="1" applyFill="1" applyBorder="1" applyAlignment="1">
      <alignment horizontal="center" vertical="center"/>
    </xf>
    <xf numFmtId="0" fontId="2" fillId="5" borderId="12" xfId="0" applyFont="1" applyFill="1" applyBorder="1" applyAlignment="1">
      <alignment horizontal="center" vertical="center"/>
    </xf>
    <xf numFmtId="0" fontId="2" fillId="5" borderId="13" xfId="0" applyFont="1" applyFill="1" applyBorder="1" applyAlignment="1">
      <alignment horizontal="center" vertical="center"/>
    </xf>
    <xf numFmtId="0" fontId="7" fillId="3" borderId="27" xfId="0" applyFont="1" applyFill="1" applyBorder="1" applyAlignment="1">
      <alignment horizontal="center" vertical="center"/>
    </xf>
    <xf numFmtId="0" fontId="7" fillId="3" borderId="28" xfId="0" applyFont="1" applyFill="1" applyBorder="1" applyAlignment="1">
      <alignment horizontal="center" vertical="center"/>
    </xf>
    <xf numFmtId="165" fontId="5" fillId="0" borderId="16" xfId="0" applyNumberFormat="1" applyFont="1" applyBorder="1" applyAlignment="1">
      <alignment horizontal="center" vertical="center"/>
    </xf>
    <xf numFmtId="165" fontId="5" fillId="0" borderId="8" xfId="0" applyNumberFormat="1" applyFont="1" applyBorder="1" applyAlignment="1">
      <alignment horizontal="center" vertical="center"/>
    </xf>
    <xf numFmtId="165" fontId="5" fillId="0" borderId="29" xfId="0" applyNumberFormat="1" applyFont="1" applyBorder="1" applyAlignment="1">
      <alignment horizontal="center" vertical="center"/>
    </xf>
    <xf numFmtId="168" fontId="2" fillId="0" borderId="13" xfId="0" applyNumberFormat="1" applyFont="1" applyBorder="1" applyAlignment="1">
      <alignment horizontal="center" vertical="center"/>
    </xf>
    <xf numFmtId="168" fontId="2" fillId="0" borderId="11" xfId="0" applyNumberFormat="1" applyFont="1" applyBorder="1" applyAlignment="1">
      <alignment horizontal="center" vertical="center"/>
    </xf>
    <xf numFmtId="168" fontId="2" fillId="0" borderId="16" xfId="0" applyNumberFormat="1" applyFont="1" applyBorder="1" applyAlignment="1">
      <alignment horizontal="center" vertical="center"/>
    </xf>
    <xf numFmtId="168" fontId="2" fillId="0" borderId="8" xfId="0" applyNumberFormat="1" applyFont="1" applyBorder="1" applyAlignment="1">
      <alignment horizontal="center" vertical="center"/>
    </xf>
    <xf numFmtId="168" fontId="2" fillId="0" borderId="29" xfId="0" applyNumberFormat="1" applyFont="1" applyBorder="1" applyAlignment="1">
      <alignment horizontal="center" vertical="center"/>
    </xf>
    <xf numFmtId="10" fontId="2" fillId="0" borderId="13" xfId="0" applyNumberFormat="1" applyFont="1" applyBorder="1" applyAlignment="1">
      <alignment horizontal="center" vertical="center"/>
    </xf>
    <xf numFmtId="10" fontId="2" fillId="0" borderId="11" xfId="0" applyNumberFormat="1" applyFont="1" applyBorder="1" applyAlignment="1">
      <alignment horizontal="center" vertical="center"/>
    </xf>
    <xf numFmtId="10" fontId="2" fillId="0" borderId="16" xfId="0" applyNumberFormat="1" applyFont="1" applyBorder="1" applyAlignment="1">
      <alignment horizontal="center" vertical="center"/>
    </xf>
    <xf numFmtId="10" fontId="2" fillId="0" borderId="8" xfId="0" applyNumberFormat="1" applyFont="1" applyBorder="1" applyAlignment="1">
      <alignment horizontal="center" vertical="center"/>
    </xf>
    <xf numFmtId="10" fontId="2" fillId="0" borderId="29" xfId="0" applyNumberFormat="1" applyFont="1" applyBorder="1" applyAlignment="1">
      <alignment horizontal="center" vertical="center"/>
    </xf>
    <xf numFmtId="0" fontId="7" fillId="3" borderId="18" xfId="0" applyFont="1" applyFill="1" applyBorder="1" applyAlignment="1">
      <alignment horizontal="center" vertical="center"/>
    </xf>
    <xf numFmtId="165" fontId="2" fillId="0" borderId="30" xfId="0" applyNumberFormat="1" applyFont="1" applyBorder="1" applyAlignment="1">
      <alignment horizontal="center" vertical="center"/>
    </xf>
    <xf numFmtId="165" fontId="2" fillId="0" borderId="31" xfId="0" applyNumberFormat="1" applyFont="1" applyBorder="1" applyAlignment="1">
      <alignment horizontal="center" vertical="center"/>
    </xf>
    <xf numFmtId="165" fontId="2" fillId="0" borderId="32" xfId="0" applyNumberFormat="1" applyFont="1" applyBorder="1" applyAlignment="1">
      <alignment horizontal="center" vertical="center"/>
    </xf>
    <xf numFmtId="167" fontId="2" fillId="0" borderId="13" xfId="0" applyNumberFormat="1" applyFont="1" applyBorder="1" applyAlignment="1">
      <alignment horizontal="center" vertical="center"/>
    </xf>
    <xf numFmtId="167" fontId="2" fillId="0" borderId="11" xfId="0" applyNumberFormat="1" applyFont="1" applyBorder="1" applyAlignment="1">
      <alignment horizontal="center" vertical="center"/>
    </xf>
    <xf numFmtId="168" fontId="2" fillId="5" borderId="11" xfId="0" applyNumberFormat="1" applyFont="1" applyFill="1" applyBorder="1" applyAlignment="1">
      <alignment horizontal="center" vertical="center"/>
    </xf>
    <xf numFmtId="168" fontId="2" fillId="5" borderId="12" xfId="0" applyNumberFormat="1" applyFont="1" applyFill="1" applyBorder="1" applyAlignment="1">
      <alignment horizontal="center" vertical="center"/>
    </xf>
    <xf numFmtId="10" fontId="2" fillId="5" borderId="11" xfId="0" applyNumberFormat="1" applyFont="1" applyFill="1" applyBorder="1" applyAlignment="1">
      <alignment horizontal="center" vertical="center"/>
    </xf>
    <xf numFmtId="10" fontId="2" fillId="5" borderId="12" xfId="0" applyNumberFormat="1" applyFont="1" applyFill="1" applyBorder="1" applyAlignment="1">
      <alignment horizontal="center" vertical="center"/>
    </xf>
    <xf numFmtId="167" fontId="2" fillId="5" borderId="11" xfId="0" applyNumberFormat="1" applyFont="1" applyFill="1" applyBorder="1" applyAlignment="1">
      <alignment horizontal="center" vertical="center"/>
    </xf>
    <xf numFmtId="167" fontId="2" fillId="5" borderId="12" xfId="0" applyNumberFormat="1" applyFont="1" applyFill="1" applyBorder="1" applyAlignment="1">
      <alignment horizontal="center" vertical="center"/>
    </xf>
    <xf numFmtId="0" fontId="3" fillId="4" borderId="14" xfId="0" applyFont="1" applyFill="1" applyBorder="1" applyAlignment="1">
      <alignment horizontal="center"/>
    </xf>
    <xf numFmtId="0" fontId="3" fillId="4" borderId="15" xfId="0" applyFont="1" applyFill="1" applyBorder="1" applyAlignment="1">
      <alignment horizontal="center"/>
    </xf>
    <xf numFmtId="0" fontId="3" fillId="4" borderId="18" xfId="0" applyFont="1" applyFill="1" applyBorder="1" applyAlignment="1">
      <alignment horizontal="center"/>
    </xf>
    <xf numFmtId="0" fontId="2" fillId="0" borderId="0" xfId="0" applyFont="1" applyBorder="1" applyAlignment="1">
      <alignment horizontal="center" vertical="center" wrapText="1"/>
    </xf>
    <xf numFmtId="0" fontId="8" fillId="7" borderId="11" xfId="0" applyFont="1" applyFill="1" applyBorder="1" applyAlignment="1">
      <alignment horizontal="center"/>
    </xf>
    <xf numFmtId="0" fontId="8" fillId="7" borderId="12" xfId="0" applyFont="1" applyFill="1" applyBorder="1" applyAlignment="1">
      <alignment horizontal="center"/>
    </xf>
    <xf numFmtId="0" fontId="7" fillId="8" borderId="9" xfId="0" applyFont="1" applyFill="1" applyBorder="1" applyAlignment="1">
      <alignment horizontal="center" vertical="center"/>
    </xf>
    <xf numFmtId="4" fontId="10" fillId="0" borderId="10" xfId="0" applyNumberFormat="1" applyFont="1" applyBorder="1" applyAlignment="1">
      <alignment horizontal="center"/>
    </xf>
    <xf numFmtId="4" fontId="10" fillId="0" borderId="11" xfId="0" applyNumberFormat="1" applyFont="1" applyBorder="1" applyAlignment="1">
      <alignment horizontal="center"/>
    </xf>
    <xf numFmtId="4" fontId="10" fillId="0" borderId="12" xfId="0" applyNumberFormat="1" applyFont="1" applyBorder="1" applyAlignment="1">
      <alignment horizontal="center"/>
    </xf>
    <xf numFmtId="0" fontId="0" fillId="5" borderId="10" xfId="0" applyFill="1" applyBorder="1" applyAlignment="1">
      <alignment horizontal="center"/>
    </xf>
    <xf numFmtId="165" fontId="2" fillId="5" borderId="11" xfId="0" applyNumberFormat="1" applyFont="1" applyFill="1" applyBorder="1" applyAlignment="1">
      <alignment horizontal="center"/>
    </xf>
    <xf numFmtId="165" fontId="2" fillId="5" borderId="12" xfId="0" applyNumberFormat="1" applyFont="1" applyFill="1" applyBorder="1" applyAlignment="1">
      <alignment horizontal="center"/>
    </xf>
    <xf numFmtId="0" fontId="4" fillId="0" borderId="33" xfId="0" applyFont="1" applyBorder="1" applyAlignment="1">
      <alignment horizontal="center"/>
    </xf>
    <xf numFmtId="0" fontId="4" fillId="0" borderId="34" xfId="0" applyFont="1" applyBorder="1" applyAlignment="1">
      <alignment horizontal="center"/>
    </xf>
    <xf numFmtId="0" fontId="4" fillId="0" borderId="35" xfId="0" applyFont="1" applyBorder="1" applyAlignment="1">
      <alignment horizontal="center"/>
    </xf>
    <xf numFmtId="1" fontId="2" fillId="0" borderId="36" xfId="0" applyNumberFormat="1" applyFont="1" applyBorder="1" applyAlignment="1">
      <alignment horizontal="center"/>
    </xf>
    <xf numFmtId="165" fontId="2" fillId="0" borderId="37" xfId="0" applyNumberFormat="1" applyFont="1" applyBorder="1" applyAlignment="1">
      <alignment horizontal="center"/>
    </xf>
    <xf numFmtId="165" fontId="2" fillId="0" borderId="38" xfId="0" applyNumberFormat="1" applyFont="1" applyBorder="1" applyAlignment="1">
      <alignment horizontal="center"/>
    </xf>
    <xf numFmtId="0" fontId="11" fillId="0" borderId="14" xfId="0" applyFont="1" applyBorder="1" applyAlignment="1">
      <alignment horizontal="center"/>
    </xf>
    <xf numFmtId="0" fontId="11" fillId="0" borderId="18" xfId="0" applyFont="1" applyBorder="1" applyAlignment="1">
      <alignment horizontal="center"/>
    </xf>
    <xf numFmtId="167" fontId="2" fillId="0" borderId="37" xfId="0" applyNumberFormat="1" applyFont="1" applyBorder="1" applyAlignment="1">
      <alignment horizontal="center"/>
    </xf>
    <xf numFmtId="10" fontId="2" fillId="0" borderId="38" xfId="0" applyNumberFormat="1" applyFont="1" applyBorder="1" applyAlignment="1">
      <alignment horizontal="center"/>
    </xf>
    <xf numFmtId="165" fontId="9" fillId="6" borderId="36" xfId="0" applyNumberFormat="1" applyFont="1" applyFill="1" applyBorder="1" applyAlignment="1">
      <alignment horizontal="center"/>
    </xf>
    <xf numFmtId="165" fontId="9" fillId="6" borderId="37" xfId="0" applyNumberFormat="1" applyFont="1" applyFill="1" applyBorder="1" applyAlignment="1">
      <alignment horizontal="center"/>
    </xf>
    <xf numFmtId="0" fontId="2" fillId="0" borderId="20" xfId="0" applyFont="1" applyBorder="1" applyAlignment="1">
      <alignment vertical="top" wrapText="1"/>
    </xf>
    <xf numFmtId="0" fontId="2" fillId="0" borderId="21" xfId="0" applyFont="1" applyBorder="1" applyAlignment="1">
      <alignment vertical="top" wrapText="1"/>
    </xf>
    <xf numFmtId="0" fontId="2" fillId="0" borderId="23" xfId="0" applyFont="1" applyBorder="1" applyAlignment="1">
      <alignment vertical="top" wrapText="1"/>
    </xf>
    <xf numFmtId="0" fontId="2" fillId="0" borderId="25" xfId="0" applyFont="1" applyBorder="1" applyAlignment="1">
      <alignment vertical="top" wrapText="1"/>
    </xf>
    <xf numFmtId="0" fontId="2" fillId="0" borderId="26" xfId="0" applyFont="1" applyBorder="1" applyAlignment="1">
      <alignment vertical="top" wrapText="1"/>
    </xf>
    <xf numFmtId="0" fontId="4" fillId="0" borderId="39" xfId="0" applyFont="1" applyBorder="1" applyAlignment="1">
      <alignment vertical="top" wrapText="1"/>
    </xf>
    <xf numFmtId="0" fontId="4" fillId="0" borderId="40" xfId="0" applyFont="1" applyBorder="1" applyAlignment="1">
      <alignment vertical="top" wrapText="1"/>
    </xf>
    <xf numFmtId="0" fontId="4" fillId="0" borderId="41" xfId="0" applyFont="1" applyBorder="1" applyAlignment="1">
      <alignment vertical="top" wrapText="1"/>
    </xf>
    <xf numFmtId="0" fontId="2" fillId="0" borderId="19" xfId="0" applyFont="1" applyBorder="1" applyAlignment="1">
      <alignment vertical="top" wrapText="1"/>
    </xf>
    <xf numFmtId="0" fontId="2" fillId="0" borderId="22" xfId="0" applyFont="1" applyBorder="1" applyAlignment="1">
      <alignment vertical="top" wrapText="1"/>
    </xf>
    <xf numFmtId="0" fontId="2" fillId="0" borderId="24" xfId="0" applyFont="1" applyBorder="1" applyAlignment="1">
      <alignment vertical="top" wrapText="1"/>
    </xf>
    <xf numFmtId="0" fontId="0" fillId="0" borderId="0" xfId="0" applyAlignment="1">
      <alignment vertical="center" wrapText="1"/>
    </xf>
    <xf numFmtId="0" fontId="3" fillId="4" borderId="42" xfId="0" applyFont="1" applyFill="1" applyBorder="1" applyAlignment="1">
      <alignment horizontal="center" vertical="center"/>
    </xf>
    <xf numFmtId="0" fontId="3" fillId="4" borderId="43" xfId="0" applyFont="1" applyFill="1" applyBorder="1" applyAlignment="1">
      <alignment horizontal="center" vertical="center"/>
    </xf>
    <xf numFmtId="0" fontId="4" fillId="0" borderId="44" xfId="0" applyFont="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horizontal="center" vertical="center"/>
    </xf>
    <xf numFmtId="165" fontId="10" fillId="0" borderId="36" xfId="0" applyNumberFormat="1" applyFont="1" applyBorder="1" applyAlignment="1">
      <alignment horizontal="center" vertical="center"/>
    </xf>
    <xf numFmtId="167" fontId="10" fillId="0" borderId="37" xfId="0" applyNumberFormat="1" applyFont="1" applyBorder="1" applyAlignment="1">
      <alignment horizontal="center" vertical="center"/>
    </xf>
    <xf numFmtId="10" fontId="10" fillId="0" borderId="37" xfId="0" applyNumberFormat="1" applyFont="1" applyBorder="1" applyAlignment="1">
      <alignment horizontal="center" vertical="center"/>
    </xf>
    <xf numFmtId="10" fontId="10" fillId="0" borderId="38" xfId="0" applyNumberFormat="1" applyFont="1" applyBorder="1" applyAlignment="1">
      <alignment horizontal="center" vertical="center"/>
    </xf>
    <xf numFmtId="0" fontId="0" fillId="0" borderId="0" xfId="0" applyAlignment="1">
      <alignment horizontal="center" vertical="center" wrapText="1"/>
    </xf>
    <xf numFmtId="0" fontId="3" fillId="0" borderId="0" xfId="0" applyFont="1" applyFill="1" applyBorder="1" applyAlignment="1">
      <alignment horizontal="center" wrapText="1"/>
    </xf>
    <xf numFmtId="0" fontId="12" fillId="0" borderId="0" xfId="0" applyFont="1" applyBorder="1" applyAlignment="1">
      <alignment horizont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BE4B48"/>
      <rgbColor rgb="FFFFFF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39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s-EC" sz="1800" b="1" strike="noStrike" spc="-1">
                <a:solidFill>
                  <a:srgbClr val="000000"/>
                </a:solidFill>
                <a:latin typeface="Calibri"/>
              </a:rPr>
              <a:t>Volatilidad condicional </a:t>
            </a:r>
            <a:r>
              <a:rPr lang="el-GR" sz="1800" b="1" strike="noStrike" spc="-1">
                <a:solidFill>
                  <a:srgbClr val="000000"/>
                </a:solidFill>
                <a:latin typeface="Calibri"/>
              </a:rPr>
              <a:t>σ</a:t>
            </a:r>
            <a:r>
              <a:rPr lang="es-EC" sz="1800" b="1" strike="noStrike" spc="-1">
                <a:solidFill>
                  <a:srgbClr val="000000"/>
                </a:solidFill>
                <a:latin typeface="Calibri"/>
              </a:rPr>
              <a:t>t estimada por el GARCH</a:t>
            </a:r>
          </a:p>
        </c:rich>
      </c:tx>
      <c:layout/>
      <c:overlay val="0"/>
      <c:spPr>
        <a:noFill/>
        <a:ln w="0">
          <a:noFill/>
        </a:ln>
      </c:spPr>
    </c:title>
    <c:autoTitleDeleted val="0"/>
    <c:plotArea>
      <c:layout/>
      <c:lineChart>
        <c:grouping val="standard"/>
        <c:varyColors val="0"/>
        <c:ser>
          <c:idx val="0"/>
          <c:order val="0"/>
          <c:tx>
            <c:strRef>
              <c:f>GARCH!$E$12</c:f>
              <c:strCache>
                <c:ptCount val="1"/>
                <c:pt idx="0">
                  <c:v>σt (volatilidad)</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s-EC"/>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GARCH!$A$13:$A$112</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cat>
          <c:val>
            <c:numRef>
              <c:f>GARCH!$E$13:$E$112</c:f>
              <c:numCache>
                <c:formatCode>0.00%</c:formatCode>
                <c:ptCount val="100"/>
                <c:pt idx="0">
                  <c:v>9.0502011035889056E-3</c:v>
                </c:pt>
                <c:pt idx="1">
                  <c:v>9.0402689737267752E-3</c:v>
                </c:pt>
                <c:pt idx="2">
                  <c:v>9.1950245220849547E-3</c:v>
                </c:pt>
                <c:pt idx="3">
                  <c:v>9.2013533698583651E-3</c:v>
                </c:pt>
                <c:pt idx="4">
                  <c:v>9.4206162447437666E-3</c:v>
                </c:pt>
                <c:pt idx="5">
                  <c:v>9.916408375456473E-3</c:v>
                </c:pt>
                <c:pt idx="6">
                  <c:v>1.0069516100593579E-2</c:v>
                </c:pt>
                <c:pt idx="7">
                  <c:v>1.0234863532602691E-2</c:v>
                </c:pt>
                <c:pt idx="8">
                  <c:v>1.0194804201595704E-2</c:v>
                </c:pt>
                <c:pt idx="9">
                  <c:v>1.0111139011189964E-2</c:v>
                </c:pt>
                <c:pt idx="10">
                  <c:v>9.9456383357334616E-3</c:v>
                </c:pt>
                <c:pt idx="11">
                  <c:v>1.0250962762964326E-2</c:v>
                </c:pt>
                <c:pt idx="12">
                  <c:v>1.0358048911991826E-2</c:v>
                </c:pt>
                <c:pt idx="13">
                  <c:v>1.0315154876637598E-2</c:v>
                </c:pt>
                <c:pt idx="14">
                  <c:v>1.0968424153481829E-2</c:v>
                </c:pt>
                <c:pt idx="15">
                  <c:v>1.100451746498902E-2</c:v>
                </c:pt>
                <c:pt idx="16">
                  <c:v>1.0742035510796411E-2</c:v>
                </c:pt>
                <c:pt idx="17">
                  <c:v>1.0495372309566571E-2</c:v>
                </c:pt>
                <c:pt idx="18">
                  <c:v>1.1365578301508323E-2</c:v>
                </c:pt>
                <c:pt idx="19">
                  <c:v>1.1202389903283566E-2</c:v>
                </c:pt>
                <c:pt idx="20">
                  <c:v>1.1350329692007314E-2</c:v>
                </c:pt>
                <c:pt idx="21">
                  <c:v>1.1051066550412257E-2</c:v>
                </c:pt>
                <c:pt idx="22">
                  <c:v>1.1600820835899608E-2</c:v>
                </c:pt>
                <c:pt idx="23">
                  <c:v>1.127607475438999E-2</c:v>
                </c:pt>
                <c:pt idx="24">
                  <c:v>1.1972698792847722E-2</c:v>
                </c:pt>
                <c:pt idx="25">
                  <c:v>1.2116624322217448E-2</c:v>
                </c:pt>
                <c:pt idx="26">
                  <c:v>1.1755707432379778E-2</c:v>
                </c:pt>
                <c:pt idx="27">
                  <c:v>1.1506000576371736E-2</c:v>
                </c:pt>
                <c:pt idx="28">
                  <c:v>1.2464484558390393E-2</c:v>
                </c:pt>
                <c:pt idx="29">
                  <c:v>1.3133761781459611E-2</c:v>
                </c:pt>
                <c:pt idx="30">
                  <c:v>1.2656398271170684E-2</c:v>
                </c:pt>
                <c:pt idx="31">
                  <c:v>1.5185896144624194E-2</c:v>
                </c:pt>
                <c:pt idx="32">
                  <c:v>1.4598696320419461E-2</c:v>
                </c:pt>
                <c:pt idx="33">
                  <c:v>1.3902486673643653E-2</c:v>
                </c:pt>
                <c:pt idx="34">
                  <c:v>1.3350589782970965E-2</c:v>
                </c:pt>
                <c:pt idx="35">
                  <c:v>1.2789062202002625E-2</c:v>
                </c:pt>
                <c:pt idx="36">
                  <c:v>1.457365822175128E-2</c:v>
                </c:pt>
                <c:pt idx="37">
                  <c:v>1.4011293005813203E-2</c:v>
                </c:pt>
                <c:pt idx="38">
                  <c:v>1.3379037785059677E-2</c:v>
                </c:pt>
                <c:pt idx="39">
                  <c:v>1.3205834403684407E-2</c:v>
                </c:pt>
                <c:pt idx="40">
                  <c:v>1.3189269340195774E-2</c:v>
                </c:pt>
                <c:pt idx="41">
                  <c:v>1.2890856247637724E-2</c:v>
                </c:pt>
                <c:pt idx="42">
                  <c:v>1.2406751883715315E-2</c:v>
                </c:pt>
                <c:pt idx="43">
                  <c:v>1.253646298020108E-2</c:v>
                </c:pt>
                <c:pt idx="44">
                  <c:v>1.2089399477208395E-2</c:v>
                </c:pt>
                <c:pt idx="45">
                  <c:v>1.1844247384646107E-2</c:v>
                </c:pt>
                <c:pt idx="46">
                  <c:v>1.1919362480124696E-2</c:v>
                </c:pt>
                <c:pt idx="47">
                  <c:v>1.1596364414692004E-2</c:v>
                </c:pt>
                <c:pt idx="48">
                  <c:v>1.151572501548314E-2</c:v>
                </c:pt>
                <c:pt idx="49">
                  <c:v>1.1174606026528793E-2</c:v>
                </c:pt>
                <c:pt idx="50">
                  <c:v>1.0979438355121936E-2</c:v>
                </c:pt>
                <c:pt idx="51">
                  <c:v>1.0699616870279694E-2</c:v>
                </c:pt>
                <c:pt idx="52">
                  <c:v>1.0940086278416883E-2</c:v>
                </c:pt>
                <c:pt idx="53">
                  <c:v>1.0704561774204445E-2</c:v>
                </c:pt>
                <c:pt idx="54">
                  <c:v>1.0538327649708431E-2</c:v>
                </c:pt>
                <c:pt idx="55">
                  <c:v>1.0627237364688454E-2</c:v>
                </c:pt>
                <c:pt idx="56">
                  <c:v>1.1356630450271804E-2</c:v>
                </c:pt>
                <c:pt idx="57">
                  <c:v>1.1094094999169702E-2</c:v>
                </c:pt>
                <c:pt idx="58">
                  <c:v>1.1120113374562509E-2</c:v>
                </c:pt>
                <c:pt idx="59">
                  <c:v>1.0837950014067812E-2</c:v>
                </c:pt>
                <c:pt idx="60">
                  <c:v>1.0587692818930234E-2</c:v>
                </c:pt>
                <c:pt idx="61">
                  <c:v>1.0520732386266468E-2</c:v>
                </c:pt>
                <c:pt idx="62">
                  <c:v>1.0578240092226781E-2</c:v>
                </c:pt>
                <c:pt idx="63">
                  <c:v>1.107206038163131E-2</c:v>
                </c:pt>
                <c:pt idx="64">
                  <c:v>1.0782212185278956E-2</c:v>
                </c:pt>
                <c:pt idx="65">
                  <c:v>1.0738140467770848E-2</c:v>
                </c:pt>
                <c:pt idx="66">
                  <c:v>1.1024233847040236E-2</c:v>
                </c:pt>
                <c:pt idx="67">
                  <c:v>1.0751623322706592E-2</c:v>
                </c:pt>
                <c:pt idx="68">
                  <c:v>1.0566062049497523E-2</c:v>
                </c:pt>
                <c:pt idx="69">
                  <c:v>1.0516836700679209E-2</c:v>
                </c:pt>
                <c:pt idx="70">
                  <c:v>1.0296406909158699E-2</c:v>
                </c:pt>
                <c:pt idx="71">
                  <c:v>1.026670202544356E-2</c:v>
                </c:pt>
                <c:pt idx="72">
                  <c:v>1.010273396082537E-2</c:v>
                </c:pt>
                <c:pt idx="73">
                  <c:v>9.9721044985249824E-3</c:v>
                </c:pt>
                <c:pt idx="74">
                  <c:v>9.8332689274109129E-3</c:v>
                </c:pt>
                <c:pt idx="75">
                  <c:v>9.9832015781710914E-3</c:v>
                </c:pt>
                <c:pt idx="76">
                  <c:v>9.9172732057127028E-3</c:v>
                </c:pt>
                <c:pt idx="77">
                  <c:v>1.2939502349891299E-2</c:v>
                </c:pt>
                <c:pt idx="78">
                  <c:v>1.2457946284061329E-2</c:v>
                </c:pt>
                <c:pt idx="79">
                  <c:v>1.202438568557233E-2</c:v>
                </c:pt>
                <c:pt idx="80">
                  <c:v>1.2711091909267447E-2</c:v>
                </c:pt>
                <c:pt idx="81">
                  <c:v>1.3397695416745391E-2</c:v>
                </c:pt>
                <c:pt idx="82">
                  <c:v>1.2926191617660962E-2</c:v>
                </c:pt>
                <c:pt idx="83">
                  <c:v>1.3449810689128832E-2</c:v>
                </c:pt>
                <c:pt idx="84">
                  <c:v>1.300047140933617E-2</c:v>
                </c:pt>
                <c:pt idx="85">
                  <c:v>1.3061385784692294E-2</c:v>
                </c:pt>
                <c:pt idx="86">
                  <c:v>1.2986436299341297E-2</c:v>
                </c:pt>
                <c:pt idx="87">
                  <c:v>1.2519114951432658E-2</c:v>
                </c:pt>
                <c:pt idx="88">
                  <c:v>1.2889847730496824E-2</c:v>
                </c:pt>
                <c:pt idx="89">
                  <c:v>1.2382352995394967E-2</c:v>
                </c:pt>
                <c:pt idx="90">
                  <c:v>1.1930014676560961E-2</c:v>
                </c:pt>
                <c:pt idx="91">
                  <c:v>1.1532506946433801E-2</c:v>
                </c:pt>
                <c:pt idx="92">
                  <c:v>1.1776873421565318E-2</c:v>
                </c:pt>
                <c:pt idx="93">
                  <c:v>1.1666800407850543E-2</c:v>
                </c:pt>
                <c:pt idx="94">
                  <c:v>1.1320808700643451E-2</c:v>
                </c:pt>
                <c:pt idx="95">
                  <c:v>1.0997117957431166E-2</c:v>
                </c:pt>
                <c:pt idx="96">
                  <c:v>1.0954558141783376E-2</c:v>
                </c:pt>
                <c:pt idx="97">
                  <c:v>1.0770128237431346E-2</c:v>
                </c:pt>
                <c:pt idx="98">
                  <c:v>1.0554251644966242E-2</c:v>
                </c:pt>
                <c:pt idx="99">
                  <c:v>1.0642381147344915E-2</c:v>
                </c:pt>
              </c:numCache>
            </c:numRef>
          </c:val>
          <c:smooth val="0"/>
          <c:extLst>
            <c:ext xmlns:c16="http://schemas.microsoft.com/office/drawing/2014/chart" uri="{C3380CC4-5D6E-409C-BE32-E72D297353CC}">
              <c16:uniqueId val="{00000000-73E9-43F9-9196-E8863D20F795}"/>
            </c:ext>
          </c:extLst>
        </c:ser>
        <c:dLbls>
          <c:showLegendKey val="0"/>
          <c:showVal val="0"/>
          <c:showCatName val="0"/>
          <c:showSerName val="0"/>
          <c:showPercent val="0"/>
          <c:showBubbleSize val="0"/>
        </c:dLbls>
        <c:hiLowLines>
          <c:spPr>
            <a:ln w="0">
              <a:noFill/>
            </a:ln>
          </c:spPr>
        </c:hiLowLines>
        <c:smooth val="0"/>
        <c:axId val="50428075"/>
        <c:axId val="93927194"/>
      </c:lineChart>
      <c:catAx>
        <c:axId val="50428075"/>
        <c:scaling>
          <c:orientation val="minMax"/>
        </c:scaling>
        <c:delete val="0"/>
        <c:axPos val="b"/>
        <c:title>
          <c:tx>
            <c:rich>
              <a:bodyPr rot="0"/>
              <a:lstStyle/>
              <a:p>
                <a:pPr>
                  <a:defRPr sz="1000" b="1" strike="noStrike" spc="-1">
                    <a:solidFill>
                      <a:srgbClr val="000000"/>
                    </a:solidFill>
                    <a:latin typeface="Calibri"/>
                  </a:defRPr>
                </a:pPr>
                <a:r>
                  <a:rPr lang="es-EC" sz="1000" b="1" strike="noStrike" spc="-1">
                    <a:solidFill>
                      <a:srgbClr val="000000"/>
                    </a:solidFill>
                    <a:latin typeface="Calibri"/>
                  </a:rPr>
                  <a:t>t</a:t>
                </a:r>
              </a:p>
            </c:rich>
          </c:tx>
          <c:layout/>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EC"/>
          </a:p>
        </c:txPr>
        <c:crossAx val="93927194"/>
        <c:crosses val="autoZero"/>
        <c:auto val="1"/>
        <c:lblAlgn val="ctr"/>
        <c:lblOffset val="100"/>
        <c:noMultiLvlLbl val="0"/>
      </c:catAx>
      <c:valAx>
        <c:axId val="9392719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l-GR" sz="1000" b="1" strike="noStrike" spc="-1">
                    <a:solidFill>
                      <a:srgbClr val="000000"/>
                    </a:solidFill>
                    <a:latin typeface="Calibri"/>
                  </a:rPr>
                  <a:t>σ</a:t>
                </a:r>
                <a:r>
                  <a:rPr lang="es-EC" sz="1000" b="1" strike="noStrike" spc="-1">
                    <a:solidFill>
                      <a:srgbClr val="000000"/>
                    </a:solidFill>
                    <a:latin typeface="Calibri"/>
                  </a:rPr>
                  <a:t>t</a:t>
                </a:r>
              </a:p>
            </c:rich>
          </c:tx>
          <c:layout/>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EC"/>
          </a:p>
        </c:txPr>
        <c:crossAx val="50428075"/>
        <c:crosses val="autoZero"/>
        <c:crossBetween val="between"/>
      </c:valAx>
      <c:spPr>
        <a:noFill/>
        <a:ln w="0">
          <a:noFill/>
        </a:ln>
      </c:spPr>
    </c:plotArea>
    <c:legend>
      <c:legendPos val="r"/>
      <c:layout/>
      <c:overlay val="0"/>
      <c:spPr>
        <a:noFill/>
        <a:ln w="0">
          <a:noFill/>
        </a:ln>
      </c:spPr>
      <c:txPr>
        <a:bodyPr/>
        <a:lstStyle/>
        <a:p>
          <a:pPr>
            <a:defRPr sz="1000" b="0" strike="noStrike" spc="-1">
              <a:solidFill>
                <a:srgbClr val="000000"/>
              </a:solidFill>
              <a:latin typeface="Calibri"/>
            </a:defRPr>
          </a:pPr>
          <a:endParaRPr lang="es-EC"/>
        </a:p>
      </c:txPr>
    </c:legend>
    <c:plotVisOnly val="1"/>
    <c:dispBlanksAs val="gap"/>
    <c:showDLblsOverMax val="1"/>
  </c:chart>
  <c:spPr>
    <a:solidFill>
      <a:srgbClr val="FFFFFF"/>
    </a:solidFill>
    <a:ln w="9360">
      <a:solidFill>
        <a:schemeClr val="accent1"/>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s-EC" sz="1800" b="1" strike="noStrike" spc="-1">
                <a:solidFill>
                  <a:srgbClr val="000000"/>
                </a:solidFill>
                <a:latin typeface="Calibri"/>
              </a:rPr>
              <a:t>Retornos: reales (Datos) vs simulados (GARCH)</a:t>
            </a:r>
          </a:p>
        </c:rich>
      </c:tx>
      <c:layout/>
      <c:overlay val="0"/>
      <c:spPr>
        <a:noFill/>
        <a:ln w="0">
          <a:noFill/>
        </a:ln>
      </c:spPr>
    </c:title>
    <c:autoTitleDeleted val="0"/>
    <c:plotArea>
      <c:layout/>
      <c:lineChart>
        <c:grouping val="standard"/>
        <c:varyColors val="0"/>
        <c:ser>
          <c:idx val="0"/>
          <c:order val="0"/>
          <c:tx>
            <c:strRef>
              <c:f>GARCH!$B$12</c:f>
              <c:strCache>
                <c:ptCount val="1"/>
                <c:pt idx="0">
                  <c:v>rt (real, H-D)</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s-EC"/>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GARCH!$A$13:$A$112</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cat>
          <c:val>
            <c:numRef>
              <c:f>GARCH!$B$13:$B$112</c:f>
              <c:numCache>
                <c:formatCode>0.000000</c:formatCode>
                <c:ptCount val="100"/>
                <c:pt idx="0">
                  <c:v>1.0307478073486504E-3</c:v>
                </c:pt>
                <c:pt idx="1">
                  <c:v>5.55065970134696E-3</c:v>
                </c:pt>
                <c:pt idx="2">
                  <c:v>-2.8261268009801056E-3</c:v>
                </c:pt>
                <c:pt idx="3">
                  <c:v>6.915809547172946E-3</c:v>
                </c:pt>
                <c:pt idx="4">
                  <c:v>-1.0439993392096881E-2</c:v>
                </c:pt>
                <c:pt idx="5">
                  <c:v>7.622514474642573E-3</c:v>
                </c:pt>
                <c:pt idx="6">
                  <c:v>8.1034253287755442E-3</c:v>
                </c:pt>
                <c:pt idx="7">
                  <c:v>-5.3800240775697698E-3</c:v>
                </c:pt>
                <c:pt idx="8">
                  <c:v>-4.3487978810990424E-3</c:v>
                </c:pt>
                <c:pt idx="9">
                  <c:v>3.9824134823782868E-4</c:v>
                </c:pt>
                <c:pt idx="10">
                  <c:v>-9.4888745108425935E-3</c:v>
                </c:pt>
                <c:pt idx="11">
                  <c:v>7.726108548736556E-3</c:v>
                </c:pt>
                <c:pt idx="12">
                  <c:v>-5.6627020540441766E-3</c:v>
                </c:pt>
                <c:pt idx="13">
                  <c:v>-1.3365729048958096E-2</c:v>
                </c:pt>
                <c:pt idx="14">
                  <c:v>8.2698400759430267E-3</c:v>
                </c:pt>
                <c:pt idx="15">
                  <c:v>-2.1373651385526316E-3</c:v>
                </c:pt>
                <c:pt idx="16">
                  <c:v>-8.3792624071145133E-4</c:v>
                </c:pt>
                <c:pt idx="17">
                  <c:v>-1.534485457694618E-2</c:v>
                </c:pt>
                <c:pt idx="18">
                  <c:v>-6.0775200013083444E-3</c:v>
                </c:pt>
                <c:pt idx="19">
                  <c:v>1.0079918404358078E-2</c:v>
                </c:pt>
                <c:pt idx="20">
                  <c:v>2.4911551576874799E-3</c:v>
                </c:pt>
                <c:pt idx="21">
                  <c:v>-1.370105213122259E-2</c:v>
                </c:pt>
                <c:pt idx="22">
                  <c:v>-2.7525886179107706E-3</c:v>
                </c:pt>
                <c:pt idx="23">
                  <c:v>-1.5253895829477377E-2</c:v>
                </c:pt>
                <c:pt idx="24">
                  <c:v>1.1388106093259189E-2</c:v>
                </c:pt>
                <c:pt idx="25">
                  <c:v>-3.7496133331591376E-3</c:v>
                </c:pt>
                <c:pt idx="26">
                  <c:v>5.4045264483707691E-3</c:v>
                </c:pt>
                <c:pt idx="27">
                  <c:v>-1.7559479899019164E-2</c:v>
                </c:pt>
                <c:pt idx="28">
                  <c:v>-1.6863223156244337E-2</c:v>
                </c:pt>
                <c:pt idx="29">
                  <c:v>-3.9535723670909078E-3</c:v>
                </c:pt>
                <c:pt idx="30">
                  <c:v>2.8714924185272283E-2</c:v>
                </c:pt>
                <c:pt idx="31">
                  <c:v>7.1429747289302155E-3</c:v>
                </c:pt>
                <c:pt idx="32">
                  <c:v>1.1202303039330127E-3</c:v>
                </c:pt>
                <c:pt idx="33">
                  <c:v>4.4169924144776057E-3</c:v>
                </c:pt>
                <c:pt idx="34">
                  <c:v>7.5895709034712322E-4</c:v>
                </c:pt>
                <c:pt idx="35">
                  <c:v>2.4772044477339827E-2</c:v>
                </c:pt>
                <c:pt idx="36">
                  <c:v>6.151052613166395E-3</c:v>
                </c:pt>
                <c:pt idx="37">
                  <c:v>-1.1391668601091422E-3</c:v>
                </c:pt>
                <c:pt idx="38">
                  <c:v>1.0121861514360059E-2</c:v>
                </c:pt>
                <c:pt idx="39">
                  <c:v>1.1714039770857793E-2</c:v>
                </c:pt>
                <c:pt idx="40">
                  <c:v>7.9441002815085933E-3</c:v>
                </c:pt>
                <c:pt idx="41">
                  <c:v>2.6066141379231045E-3</c:v>
                </c:pt>
                <c:pt idx="42">
                  <c:v>1.1968515194245957E-2</c:v>
                </c:pt>
                <c:pt idx="43">
                  <c:v>-2.3772069191958763E-3</c:v>
                </c:pt>
                <c:pt idx="44">
                  <c:v>-6.3684011707009656E-3</c:v>
                </c:pt>
                <c:pt idx="45">
                  <c:v>1.0405736514160159E-2</c:v>
                </c:pt>
                <c:pt idx="46">
                  <c:v>-4.1414321141621281E-3</c:v>
                </c:pt>
                <c:pt idx="47">
                  <c:v>7.942043275907907E-3</c:v>
                </c:pt>
                <c:pt idx="48">
                  <c:v>1.2316071238145734E-3</c:v>
                </c:pt>
                <c:pt idx="49">
                  <c:v>-4.9061387291933767E-3</c:v>
                </c:pt>
                <c:pt idx="50">
                  <c:v>-3.9930647301965165E-4</c:v>
                </c:pt>
                <c:pt idx="51">
                  <c:v>1.0186244049720987E-2</c:v>
                </c:pt>
                <c:pt idx="52">
                  <c:v>2.9240009668849726E-3</c:v>
                </c:pt>
                <c:pt idx="53">
                  <c:v>-4.0704462796038324E-3</c:v>
                </c:pt>
                <c:pt idx="54">
                  <c:v>8.0871977845929817E-3</c:v>
                </c:pt>
                <c:pt idx="55">
                  <c:v>1.4482958012583242E-2</c:v>
                </c:pt>
                <c:pt idx="56">
                  <c:v>-3.8103109376631393E-3</c:v>
                </c:pt>
                <c:pt idx="57">
                  <c:v>8.3903630375044835E-3</c:v>
                </c:pt>
                <c:pt idx="58">
                  <c:v>1.8782365766246575E-3</c:v>
                </c:pt>
                <c:pt idx="59">
                  <c:v>-1.6039102116678665E-3</c:v>
                </c:pt>
                <c:pt idx="60">
                  <c:v>5.8322007849638527E-3</c:v>
                </c:pt>
                <c:pt idx="61">
                  <c:v>7.6264178989046798E-3</c:v>
                </c:pt>
                <c:pt idx="62">
                  <c:v>-1.2440350542896567E-2</c:v>
                </c:pt>
                <c:pt idx="63">
                  <c:v>-7.3591220985800621E-4</c:v>
                </c:pt>
                <c:pt idx="64">
                  <c:v>-6.7007283473191409E-3</c:v>
                </c:pt>
                <c:pt idx="65">
                  <c:v>1.073416057010809E-2</c:v>
                </c:pt>
                <c:pt idx="66">
                  <c:v>1.7138609811618597E-3</c:v>
                </c:pt>
                <c:pt idx="67">
                  <c:v>3.7200453914820997E-3</c:v>
                </c:pt>
                <c:pt idx="68">
                  <c:v>6.0896937854017941E-3</c:v>
                </c:pt>
                <c:pt idx="69">
                  <c:v>1.648993187011506E-4</c:v>
                </c:pt>
                <c:pt idx="70">
                  <c:v>5.7372245259546557E-3</c:v>
                </c:pt>
                <c:pt idx="71">
                  <c:v>2.1698815079501913E-3</c:v>
                </c:pt>
                <c:pt idx="72">
                  <c:v>2.6218689303053738E-3</c:v>
                </c:pt>
                <c:pt idx="73">
                  <c:v>1.2912780053423547E-3</c:v>
                </c:pt>
                <c:pt idx="74">
                  <c:v>-7.3994003955932426E-3</c:v>
                </c:pt>
                <c:pt idx="75">
                  <c:v>4.0467779144759105E-3</c:v>
                </c:pt>
                <c:pt idx="76">
                  <c:v>-2.6801354331751116E-2</c:v>
                </c:pt>
                <c:pt idx="77">
                  <c:v>2.9737395870207137E-3</c:v>
                </c:pt>
                <c:pt idx="78">
                  <c:v>-2.579708009296603E-3</c:v>
                </c:pt>
                <c:pt idx="79">
                  <c:v>-1.6332141340852126E-2</c:v>
                </c:pt>
                <c:pt idx="80">
                  <c:v>1.7367257579397138E-2</c:v>
                </c:pt>
                <c:pt idx="81">
                  <c:v>5.0129069696037117E-3</c:v>
                </c:pt>
                <c:pt idx="82">
                  <c:v>1.6393273711308838E-2</c:v>
                </c:pt>
                <c:pt idx="83">
                  <c:v>-5.7004038695285929E-3</c:v>
                </c:pt>
                <c:pt idx="84">
                  <c:v>-1.222267576324425E-2</c:v>
                </c:pt>
                <c:pt idx="85">
                  <c:v>1.0787816708107183E-2</c:v>
                </c:pt>
                <c:pt idx="86">
                  <c:v>-3.7119274964131756E-3</c:v>
                </c:pt>
                <c:pt idx="87">
                  <c:v>-1.446691785533019E-2</c:v>
                </c:pt>
                <c:pt idx="88">
                  <c:v>-9.834498689903408E-4</c:v>
                </c:pt>
                <c:pt idx="89">
                  <c:v>-9.9213697551659894E-5</c:v>
                </c:pt>
                <c:pt idx="90">
                  <c:v>-4.7173948348602443E-4</c:v>
                </c:pt>
                <c:pt idx="91">
                  <c:v>1.1681540390059574E-2</c:v>
                </c:pt>
                <c:pt idx="92">
                  <c:v>7.8890406940170833E-3</c:v>
                </c:pt>
                <c:pt idx="93">
                  <c:v>-2.1531666062711637E-3</c:v>
                </c:pt>
                <c:pt idx="94">
                  <c:v>1.3363204549235743E-6</c:v>
                </c:pt>
                <c:pt idx="95">
                  <c:v>7.2154218293220126E-3</c:v>
                </c:pt>
                <c:pt idx="96">
                  <c:v>-4.4650529462263375E-3</c:v>
                </c:pt>
                <c:pt idx="97">
                  <c:v>-2.8211963280920745E-3</c:v>
                </c:pt>
                <c:pt idx="98">
                  <c:v>8.1097983130782817E-3</c:v>
                </c:pt>
                <c:pt idx="99">
                  <c:v>4.2000110685318937E-3</c:v>
                </c:pt>
              </c:numCache>
            </c:numRef>
          </c:val>
          <c:smooth val="0"/>
          <c:extLst>
            <c:ext xmlns:c16="http://schemas.microsoft.com/office/drawing/2014/chart" uri="{C3380CC4-5D6E-409C-BE32-E72D297353CC}">
              <c16:uniqueId val="{00000000-9444-4229-B47F-E30740033BD1}"/>
            </c:ext>
          </c:extLst>
        </c:ser>
        <c:ser>
          <c:idx val="1"/>
          <c:order val="1"/>
          <c:tx>
            <c:strRef>
              <c:f>GARCH!$H$12</c:f>
              <c:strCache>
                <c:ptCount val="1"/>
                <c:pt idx="0">
                  <c:v>ŷt simulado = σt·zt</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s-EC"/>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GARCH!$A$13:$A$112</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cat>
          <c:val>
            <c:numRef>
              <c:f>GARCH!$H$13:$H$112</c:f>
              <c:numCache>
                <c:formatCode>0.000000</c:formatCode>
                <c:ptCount val="100"/>
                <c:pt idx="0">
                  <c:v>-1.9365927994521726E-3</c:v>
                </c:pt>
                <c:pt idx="1">
                  <c:v>6.4529062729481532E-3</c:v>
                </c:pt>
                <c:pt idx="2">
                  <c:v>-4.5087543333484957E-3</c:v>
                </c:pt>
                <c:pt idx="3">
                  <c:v>-1.5403176770549976E-3</c:v>
                </c:pt>
                <c:pt idx="4">
                  <c:v>2.2187325230362615E-2</c:v>
                </c:pt>
                <c:pt idx="5">
                  <c:v>1.8091979053688315E-2</c:v>
                </c:pt>
                <c:pt idx="6">
                  <c:v>-1.0116965798464514E-2</c:v>
                </c:pt>
                <c:pt idx="7">
                  <c:v>1.1544550376141924E-2</c:v>
                </c:pt>
                <c:pt idx="8">
                  <c:v>-5.4416115393583903E-3</c:v>
                </c:pt>
                <c:pt idx="9">
                  <c:v>-2.9949896659116461E-3</c:v>
                </c:pt>
                <c:pt idx="10">
                  <c:v>-3.1503256838508603E-3</c:v>
                </c:pt>
                <c:pt idx="11">
                  <c:v>1.3015260463527009E-2</c:v>
                </c:pt>
                <c:pt idx="12">
                  <c:v>-3.0106360541274271E-3</c:v>
                </c:pt>
                <c:pt idx="13">
                  <c:v>2.3127472603121525E-3</c:v>
                </c:pt>
                <c:pt idx="14">
                  <c:v>-1.7854416009610238E-2</c:v>
                </c:pt>
                <c:pt idx="15">
                  <c:v>-1.2150136159666061E-2</c:v>
                </c:pt>
                <c:pt idx="16">
                  <c:v>7.0268743866552319E-3</c:v>
                </c:pt>
                <c:pt idx="17">
                  <c:v>-9.2962945269892475E-3</c:v>
                </c:pt>
                <c:pt idx="18">
                  <c:v>2.2186168057983326E-2</c:v>
                </c:pt>
                <c:pt idx="19">
                  <c:v>-1.2990539645878742E-2</c:v>
                </c:pt>
                <c:pt idx="20">
                  <c:v>-1.2348702853359756E-2</c:v>
                </c:pt>
                <c:pt idx="21">
                  <c:v>-1.2683723677304626E-2</c:v>
                </c:pt>
                <c:pt idx="22">
                  <c:v>-2.2582726333991538E-3</c:v>
                </c:pt>
                <c:pt idx="23">
                  <c:v>-2.2258107558252695E-3</c:v>
                </c:pt>
                <c:pt idx="24">
                  <c:v>1.1586761817314724E-2</c:v>
                </c:pt>
                <c:pt idx="25">
                  <c:v>2.5509382629967508E-4</c:v>
                </c:pt>
                <c:pt idx="26">
                  <c:v>6.9522073205251292E-3</c:v>
                </c:pt>
                <c:pt idx="27">
                  <c:v>9.8836488944413579E-3</c:v>
                </c:pt>
                <c:pt idx="28">
                  <c:v>-3.8443227866365357E-3</c:v>
                </c:pt>
                <c:pt idx="29">
                  <c:v>1.0157329501774852E-3</c:v>
                </c:pt>
                <c:pt idx="30">
                  <c:v>-9.8158459046573925E-3</c:v>
                </c:pt>
                <c:pt idx="31">
                  <c:v>7.1116775409280769E-3</c:v>
                </c:pt>
                <c:pt idx="32">
                  <c:v>2.8592966428248419E-3</c:v>
                </c:pt>
                <c:pt idx="33">
                  <c:v>-2.6733935581256731E-2</c:v>
                </c:pt>
                <c:pt idx="34">
                  <c:v>-1.8106248021512655E-2</c:v>
                </c:pt>
                <c:pt idx="35">
                  <c:v>-8.7703277177293582E-3</c:v>
                </c:pt>
                <c:pt idx="36">
                  <c:v>-2.2257510430793274E-2</c:v>
                </c:pt>
                <c:pt idx="37">
                  <c:v>2.3566857920325611E-2</c:v>
                </c:pt>
                <c:pt idx="38">
                  <c:v>1.5087493612545211E-2</c:v>
                </c:pt>
                <c:pt idx="39">
                  <c:v>1.0306316835659503E-2</c:v>
                </c:pt>
                <c:pt idx="40">
                  <c:v>-7.4932113144537474E-3</c:v>
                </c:pt>
                <c:pt idx="41">
                  <c:v>1.4412306664484786E-2</c:v>
                </c:pt>
                <c:pt idx="42">
                  <c:v>-7.6571099845252674E-3</c:v>
                </c:pt>
                <c:pt idx="43">
                  <c:v>-1.9132560311887227E-3</c:v>
                </c:pt>
                <c:pt idx="44">
                  <c:v>-7.7816458237345921E-3</c:v>
                </c:pt>
                <c:pt idx="45">
                  <c:v>-9.037891070071729E-3</c:v>
                </c:pt>
                <c:pt idx="46">
                  <c:v>5.519185992103535E-3</c:v>
                </c:pt>
                <c:pt idx="47">
                  <c:v>2.1811531699610171E-4</c:v>
                </c:pt>
                <c:pt idx="48">
                  <c:v>-7.8670805292466658E-3</c:v>
                </c:pt>
                <c:pt idx="49">
                  <c:v>7.3288097125308671E-3</c:v>
                </c:pt>
                <c:pt idx="50">
                  <c:v>9.3149283141066956E-3</c:v>
                </c:pt>
                <c:pt idx="51">
                  <c:v>-2.4770395459108329E-3</c:v>
                </c:pt>
                <c:pt idx="52">
                  <c:v>-1.5657352951164483E-2</c:v>
                </c:pt>
                <c:pt idx="53">
                  <c:v>4.2633375787349504E-3</c:v>
                </c:pt>
                <c:pt idx="54">
                  <c:v>-1.8195139379157815E-3</c:v>
                </c:pt>
                <c:pt idx="55">
                  <c:v>1.3010334917441402E-2</c:v>
                </c:pt>
                <c:pt idx="56">
                  <c:v>6.7535041798646384E-3</c:v>
                </c:pt>
                <c:pt idx="57">
                  <c:v>1.7872871618497144E-3</c:v>
                </c:pt>
                <c:pt idx="58">
                  <c:v>2.0406105018868669E-4</c:v>
                </c:pt>
                <c:pt idx="59">
                  <c:v>8.9559589416418704E-3</c:v>
                </c:pt>
                <c:pt idx="60">
                  <c:v>7.3421977958340583E-3</c:v>
                </c:pt>
                <c:pt idx="61">
                  <c:v>1.2583375531041953E-3</c:v>
                </c:pt>
                <c:pt idx="62">
                  <c:v>-9.8883302341209595E-3</c:v>
                </c:pt>
                <c:pt idx="63">
                  <c:v>-1.4635578539903799E-2</c:v>
                </c:pt>
                <c:pt idx="64">
                  <c:v>-1.5980630261332571E-3</c:v>
                </c:pt>
                <c:pt idx="65">
                  <c:v>6.2620420052717115E-4</c:v>
                </c:pt>
                <c:pt idx="66">
                  <c:v>5.950603371470505E-3</c:v>
                </c:pt>
                <c:pt idx="67">
                  <c:v>-8.9237502380947551E-3</c:v>
                </c:pt>
                <c:pt idx="68">
                  <c:v>1.7038351300174885E-2</c:v>
                </c:pt>
                <c:pt idx="69">
                  <c:v>1.1541079150984247E-2</c:v>
                </c:pt>
                <c:pt idx="70">
                  <c:v>1.108553591220654E-2</c:v>
                </c:pt>
                <c:pt idx="71">
                  <c:v>1.0517239922419135E-3</c:v>
                </c:pt>
                <c:pt idx="72">
                  <c:v>-1.2400612114308522E-3</c:v>
                </c:pt>
                <c:pt idx="73">
                  <c:v>-5.7307334494480638E-3</c:v>
                </c:pt>
                <c:pt idx="74">
                  <c:v>-9.7983196253811616E-3</c:v>
                </c:pt>
                <c:pt idx="75">
                  <c:v>7.7358780596099017E-4</c:v>
                </c:pt>
                <c:pt idx="76">
                  <c:v>9.8878815026794478E-3</c:v>
                </c:pt>
                <c:pt idx="77">
                  <c:v>-6.5037545315298128E-3</c:v>
                </c:pt>
                <c:pt idx="78">
                  <c:v>1.0454486998320637E-2</c:v>
                </c:pt>
                <c:pt idx="79">
                  <c:v>-4.1112192619101335E-3</c:v>
                </c:pt>
                <c:pt idx="80">
                  <c:v>1.5065859445938586E-2</c:v>
                </c:pt>
                <c:pt idx="81">
                  <c:v>8.4546041314548983E-3</c:v>
                </c:pt>
                <c:pt idx="82">
                  <c:v>-1.939603132669445E-2</c:v>
                </c:pt>
                <c:pt idx="83">
                  <c:v>-1.1595663620033916E-2</c:v>
                </c:pt>
                <c:pt idx="84">
                  <c:v>1.1773301480076315E-2</c:v>
                </c:pt>
                <c:pt idx="85">
                  <c:v>-1.4290258810002237E-2</c:v>
                </c:pt>
                <c:pt idx="86">
                  <c:v>1.2046278219823464E-2</c:v>
                </c:pt>
                <c:pt idx="87">
                  <c:v>1.2906603674433113E-2</c:v>
                </c:pt>
                <c:pt idx="88">
                  <c:v>1.5491244576382599E-2</c:v>
                </c:pt>
                <c:pt idx="89">
                  <c:v>-1.061524811653305E-2</c:v>
                </c:pt>
                <c:pt idx="90">
                  <c:v>-2.0302900049259717E-2</c:v>
                </c:pt>
                <c:pt idx="91">
                  <c:v>-2.2808441927775816E-4</c:v>
                </c:pt>
                <c:pt idx="92">
                  <c:v>8.1569097798449616E-3</c:v>
                </c:pt>
                <c:pt idx="93">
                  <c:v>1.2609499490057813E-2</c:v>
                </c:pt>
                <c:pt idx="94">
                  <c:v>-8.5127240334888568E-3</c:v>
                </c:pt>
                <c:pt idx="95">
                  <c:v>-4.0855450664870827E-3</c:v>
                </c:pt>
                <c:pt idx="96">
                  <c:v>-4.5372887689891306E-3</c:v>
                </c:pt>
                <c:pt idx="97">
                  <c:v>3.9790587693982983E-3</c:v>
                </c:pt>
                <c:pt idx="98">
                  <c:v>7.3628848035247668E-3</c:v>
                </c:pt>
                <c:pt idx="99">
                  <c:v>-5.0133351934951598E-3</c:v>
                </c:pt>
              </c:numCache>
            </c:numRef>
          </c:val>
          <c:smooth val="0"/>
          <c:extLst>
            <c:ext xmlns:c16="http://schemas.microsoft.com/office/drawing/2014/chart" uri="{C3380CC4-5D6E-409C-BE32-E72D297353CC}">
              <c16:uniqueId val="{00000001-9444-4229-B47F-E30740033BD1}"/>
            </c:ext>
          </c:extLst>
        </c:ser>
        <c:dLbls>
          <c:showLegendKey val="0"/>
          <c:showVal val="0"/>
          <c:showCatName val="0"/>
          <c:showSerName val="0"/>
          <c:showPercent val="0"/>
          <c:showBubbleSize val="0"/>
        </c:dLbls>
        <c:hiLowLines>
          <c:spPr>
            <a:ln w="0">
              <a:noFill/>
            </a:ln>
          </c:spPr>
        </c:hiLowLines>
        <c:smooth val="0"/>
        <c:axId val="28739972"/>
        <c:axId val="16656873"/>
      </c:lineChart>
      <c:catAx>
        <c:axId val="28739972"/>
        <c:scaling>
          <c:orientation val="minMax"/>
        </c:scaling>
        <c:delete val="0"/>
        <c:axPos val="b"/>
        <c:title>
          <c:tx>
            <c:rich>
              <a:bodyPr rot="0"/>
              <a:lstStyle/>
              <a:p>
                <a:pPr>
                  <a:defRPr sz="1000" b="1" strike="noStrike" spc="-1">
                    <a:solidFill>
                      <a:srgbClr val="000000"/>
                    </a:solidFill>
                    <a:latin typeface="Calibri"/>
                  </a:defRPr>
                </a:pPr>
                <a:r>
                  <a:rPr lang="es-EC" sz="1000" b="1" strike="noStrike" spc="-1">
                    <a:solidFill>
                      <a:srgbClr val="000000"/>
                    </a:solidFill>
                    <a:latin typeface="Calibri"/>
                  </a:rPr>
                  <a:t>t</a:t>
                </a:r>
              </a:p>
            </c:rich>
          </c:tx>
          <c:layout/>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EC"/>
          </a:p>
        </c:txPr>
        <c:crossAx val="16656873"/>
        <c:crosses val="autoZero"/>
        <c:auto val="1"/>
        <c:lblAlgn val="ctr"/>
        <c:lblOffset val="100"/>
        <c:noMultiLvlLbl val="0"/>
      </c:catAx>
      <c:valAx>
        <c:axId val="1665687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s-EC" sz="1000" b="1" strike="noStrike" spc="-1">
                    <a:solidFill>
                      <a:srgbClr val="000000"/>
                    </a:solidFill>
                    <a:latin typeface="Calibri"/>
                  </a:rPr>
                  <a:t>Retorno</a:t>
                </a:r>
              </a:p>
            </c:rich>
          </c:tx>
          <c:layout/>
          <c:overlay val="0"/>
          <c:spPr>
            <a:noFill/>
            <a:ln w="0">
              <a:noFill/>
            </a:ln>
          </c:spPr>
        </c:title>
        <c:numFmt formatCode="0.00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EC"/>
          </a:p>
        </c:txPr>
        <c:crossAx val="28739972"/>
        <c:crosses val="autoZero"/>
        <c:crossBetween val="between"/>
      </c:valAx>
      <c:spPr>
        <a:noFill/>
        <a:ln w="0">
          <a:solidFill>
            <a:schemeClr val="accent1"/>
          </a:solidFill>
        </a:ln>
      </c:spPr>
    </c:plotArea>
    <c:legend>
      <c:legendPos val="r"/>
      <c:layout/>
      <c:overlay val="0"/>
      <c:spPr>
        <a:noFill/>
        <a:ln w="0">
          <a:noFill/>
        </a:ln>
      </c:spPr>
      <c:txPr>
        <a:bodyPr/>
        <a:lstStyle/>
        <a:p>
          <a:pPr>
            <a:defRPr sz="1000" b="0" strike="noStrike" spc="-1">
              <a:solidFill>
                <a:srgbClr val="000000"/>
              </a:solidFill>
              <a:latin typeface="Calibri"/>
            </a:defRPr>
          </a:pPr>
          <a:endParaRPr lang="es-EC"/>
        </a:p>
      </c:txPr>
    </c:legend>
    <c:plotVisOnly val="1"/>
    <c:dispBlanksAs val="gap"/>
    <c:showDLblsOverMax val="1"/>
  </c:chart>
  <c:spPr>
    <a:solidFill>
      <a:srgbClr val="FFFFFF"/>
    </a:solidFill>
    <a:ln w="9360">
      <a:solidFill>
        <a:schemeClr val="accent1"/>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381000</xdr:colOff>
      <xdr:row>3</xdr:row>
      <xdr:rowOff>28574</xdr:rowOff>
    </xdr:from>
    <xdr:to>
      <xdr:col>8</xdr:col>
      <xdr:colOff>47625</xdr:colOff>
      <xdr:row>6</xdr:row>
      <xdr:rowOff>53045</xdr:rowOff>
    </xdr:to>
    <xdr:pic>
      <xdr:nvPicPr>
        <xdr:cNvPr id="3" name="Imagen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00" y="771524"/>
          <a:ext cx="1409700" cy="595971"/>
        </a:xfrm>
        <a:prstGeom prst="rect">
          <a:avLst/>
        </a:prstGeom>
        <a:solidFill>
          <a:srgbClr val="0070C0"/>
        </a:solidFill>
        <a:ln>
          <a:solidFill>
            <a:schemeClr val="accent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53</xdr:row>
      <xdr:rowOff>0</xdr:rowOff>
    </xdr:from>
    <xdr:to>
      <xdr:col>10</xdr:col>
      <xdr:colOff>40968</xdr:colOff>
      <xdr:row>70</xdr:row>
      <xdr:rowOff>143387</xdr:rowOff>
    </xdr:to>
    <xdr:graphicFrame macro="">
      <xdr:nvGraphicFramePr>
        <xdr:cNvPr id="4"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27</xdr:row>
      <xdr:rowOff>0</xdr:rowOff>
    </xdr:from>
    <xdr:to>
      <xdr:col>9</xdr:col>
      <xdr:colOff>571500</xdr:colOff>
      <xdr:row>46</xdr:row>
      <xdr:rowOff>161925</xdr:rowOff>
    </xdr:to>
    <xdr:graphicFrame macro="">
      <xdr:nvGraphicFramePr>
        <xdr:cNvPr id="5"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2"/>
  <sheetViews>
    <sheetView showGridLines="0" zoomScaleNormal="100" workbookViewId="0">
      <pane ySplit="2" topLeftCell="A93" activePane="bottomLeft" state="frozen"/>
      <selection pane="bottomLeft" activeCell="B109" sqref="B109"/>
    </sheetView>
  </sheetViews>
  <sheetFormatPr baseColWidth="10" defaultColWidth="8.7109375" defaultRowHeight="15" x14ac:dyDescent="0.25"/>
  <cols>
    <col min="1" max="2" width="22" customWidth="1"/>
    <col min="3" max="3" width="14" customWidth="1"/>
    <col min="4" max="4" width="30" customWidth="1"/>
    <col min="5" max="5" width="34.85546875" customWidth="1"/>
  </cols>
  <sheetData>
    <row r="1" spans="1:5" ht="27.75" customHeight="1" thickBot="1" x14ac:dyDescent="0.3">
      <c r="A1" s="3" t="s">
        <v>36</v>
      </c>
      <c r="B1" s="4"/>
      <c r="C1" s="4"/>
      <c r="D1" s="4"/>
      <c r="E1" s="5"/>
    </row>
    <row r="2" spans="1:5" ht="15.75" thickBot="1" x14ac:dyDescent="0.3">
      <c r="A2" s="11" t="s">
        <v>0</v>
      </c>
      <c r="B2" s="56" t="s">
        <v>139</v>
      </c>
      <c r="C2" s="12" t="s">
        <v>1</v>
      </c>
      <c r="D2" s="13" t="s">
        <v>144</v>
      </c>
      <c r="E2" s="14" t="s">
        <v>145</v>
      </c>
    </row>
    <row r="3" spans="1:5" x14ac:dyDescent="0.25">
      <c r="A3" s="6">
        <v>0</v>
      </c>
      <c r="B3" s="54" t="s">
        <v>38</v>
      </c>
      <c r="C3" s="57">
        <v>6836.17</v>
      </c>
      <c r="D3" s="60"/>
      <c r="E3" s="16"/>
    </row>
    <row r="4" spans="1:5" x14ac:dyDescent="0.25">
      <c r="A4" s="7">
        <v>1</v>
      </c>
      <c r="B4" s="54" t="s">
        <v>39</v>
      </c>
      <c r="C4" s="58">
        <v>6843.22</v>
      </c>
      <c r="D4" s="61">
        <f>LN(C4/C3)</f>
        <v>1.0307478073486504E-3</v>
      </c>
      <c r="E4" s="15">
        <f t="shared" ref="E4:E35" si="0">D4*100</f>
        <v>0.10307478073486505</v>
      </c>
    </row>
    <row r="5" spans="1:5" x14ac:dyDescent="0.25">
      <c r="A5" s="7">
        <v>2</v>
      </c>
      <c r="B5" s="54" t="s">
        <v>40</v>
      </c>
      <c r="C5" s="58">
        <v>6881.31</v>
      </c>
      <c r="D5" s="61">
        <f t="shared" ref="D5:D68" si="1">LN(C5/C4)</f>
        <v>5.55065970134696E-3</v>
      </c>
      <c r="E5" s="9">
        <f t="shared" si="0"/>
        <v>0.55506597013469605</v>
      </c>
    </row>
    <row r="6" spans="1:5" x14ac:dyDescent="0.25">
      <c r="A6" s="7">
        <v>3</v>
      </c>
      <c r="B6" s="54" t="s">
        <v>41</v>
      </c>
      <c r="C6" s="58">
        <v>6861.89</v>
      </c>
      <c r="D6" s="61">
        <f t="shared" si="1"/>
        <v>-2.8261268009801056E-3</v>
      </c>
      <c r="E6" s="9">
        <f t="shared" si="0"/>
        <v>-0.28261268009801055</v>
      </c>
    </row>
    <row r="7" spans="1:5" x14ac:dyDescent="0.25">
      <c r="A7" s="7">
        <v>4</v>
      </c>
      <c r="B7" s="54" t="s">
        <v>42</v>
      </c>
      <c r="C7" s="58">
        <v>6909.51</v>
      </c>
      <c r="D7" s="61">
        <f t="shared" si="1"/>
        <v>6.915809547172946E-3</v>
      </c>
      <c r="E7" s="9">
        <f t="shared" si="0"/>
        <v>0.69158095471729464</v>
      </c>
    </row>
    <row r="8" spans="1:5" x14ac:dyDescent="0.25">
      <c r="A8" s="7">
        <v>5</v>
      </c>
      <c r="B8" s="54" t="s">
        <v>43</v>
      </c>
      <c r="C8" s="58">
        <v>6837.75</v>
      </c>
      <c r="D8" s="61">
        <f t="shared" si="1"/>
        <v>-1.0439993392096881E-2</v>
      </c>
      <c r="E8" s="9">
        <f t="shared" si="0"/>
        <v>-1.043999339209688</v>
      </c>
    </row>
    <row r="9" spans="1:5" x14ac:dyDescent="0.25">
      <c r="A9" s="7">
        <v>6</v>
      </c>
      <c r="B9" s="54" t="s">
        <v>44</v>
      </c>
      <c r="C9" s="58">
        <v>6890.07</v>
      </c>
      <c r="D9" s="61">
        <f t="shared" si="1"/>
        <v>7.622514474642573E-3</v>
      </c>
      <c r="E9" s="9">
        <f t="shared" si="0"/>
        <v>0.76225144746425733</v>
      </c>
    </row>
    <row r="10" spans="1:5" x14ac:dyDescent="0.25">
      <c r="A10" s="7">
        <v>7</v>
      </c>
      <c r="B10" s="54" t="s">
        <v>45</v>
      </c>
      <c r="C10" s="58">
        <v>6946.13</v>
      </c>
      <c r="D10" s="61">
        <f t="shared" si="1"/>
        <v>8.1034253287755442E-3</v>
      </c>
      <c r="E10" s="9">
        <f t="shared" si="0"/>
        <v>0.81034253287755442</v>
      </c>
    </row>
    <row r="11" spans="1:5" x14ac:dyDescent="0.25">
      <c r="A11" s="7">
        <v>8</v>
      </c>
      <c r="B11" s="54" t="s">
        <v>46</v>
      </c>
      <c r="C11" s="58">
        <v>6908.86</v>
      </c>
      <c r="D11" s="61">
        <f t="shared" si="1"/>
        <v>-5.3800240775697698E-3</v>
      </c>
      <c r="E11" s="9">
        <f t="shared" si="0"/>
        <v>-0.53800240775697694</v>
      </c>
    </row>
    <row r="12" spans="1:5" x14ac:dyDescent="0.25">
      <c r="A12" s="7">
        <v>9</v>
      </c>
      <c r="B12" s="54" t="s">
        <v>47</v>
      </c>
      <c r="C12" s="58">
        <v>6878.88</v>
      </c>
      <c r="D12" s="61">
        <f t="shared" si="1"/>
        <v>-4.3487978810990424E-3</v>
      </c>
      <c r="E12" s="9">
        <f t="shared" si="0"/>
        <v>-0.43487978810990424</v>
      </c>
    </row>
    <row r="13" spans="1:5" x14ac:dyDescent="0.25">
      <c r="A13" s="7">
        <v>10</v>
      </c>
      <c r="B13" s="54" t="s">
        <v>48</v>
      </c>
      <c r="C13" s="58">
        <v>6881.62</v>
      </c>
      <c r="D13" s="61">
        <f t="shared" si="1"/>
        <v>3.9824134823782868E-4</v>
      </c>
      <c r="E13" s="9">
        <f t="shared" si="0"/>
        <v>3.9824134823782865E-2</v>
      </c>
    </row>
    <row r="14" spans="1:5" x14ac:dyDescent="0.25">
      <c r="A14" s="7">
        <v>11</v>
      </c>
      <c r="B14" s="54" t="s">
        <v>49</v>
      </c>
      <c r="C14" s="58">
        <v>6816.63</v>
      </c>
      <c r="D14" s="61">
        <f t="shared" si="1"/>
        <v>-9.4888745108425935E-3</v>
      </c>
      <c r="E14" s="9">
        <f t="shared" si="0"/>
        <v>-0.94888745108425931</v>
      </c>
    </row>
    <row r="15" spans="1:5" x14ac:dyDescent="0.25">
      <c r="A15" s="7">
        <v>12</v>
      </c>
      <c r="B15" s="54" t="s">
        <v>50</v>
      </c>
      <c r="C15" s="58">
        <v>6869.5</v>
      </c>
      <c r="D15" s="61">
        <f t="shared" si="1"/>
        <v>7.726108548736556E-3</v>
      </c>
      <c r="E15" s="9">
        <f t="shared" si="0"/>
        <v>0.77261085487365555</v>
      </c>
    </row>
    <row r="16" spans="1:5" x14ac:dyDescent="0.25">
      <c r="A16" s="7">
        <v>13</v>
      </c>
      <c r="B16" s="54" t="s">
        <v>51</v>
      </c>
      <c r="C16" s="58">
        <v>6830.71</v>
      </c>
      <c r="D16" s="61">
        <f t="shared" si="1"/>
        <v>-5.6627020540441766E-3</v>
      </c>
      <c r="E16" s="9">
        <f t="shared" si="0"/>
        <v>-0.56627020540441764</v>
      </c>
    </row>
    <row r="17" spans="1:5" x14ac:dyDescent="0.25">
      <c r="A17" s="7">
        <v>14</v>
      </c>
      <c r="B17" s="54" t="s">
        <v>52</v>
      </c>
      <c r="C17" s="58">
        <v>6740.02</v>
      </c>
      <c r="D17" s="61">
        <f t="shared" si="1"/>
        <v>-1.3365729048958096E-2</v>
      </c>
      <c r="E17" s="9">
        <f t="shared" si="0"/>
        <v>-1.3365729048958097</v>
      </c>
    </row>
    <row r="18" spans="1:5" x14ac:dyDescent="0.25">
      <c r="A18" s="7">
        <v>15</v>
      </c>
      <c r="B18" s="54" t="s">
        <v>53</v>
      </c>
      <c r="C18" s="58">
        <v>6795.99</v>
      </c>
      <c r="D18" s="61">
        <f t="shared" si="1"/>
        <v>8.2698400759430267E-3</v>
      </c>
      <c r="E18" s="9">
        <f t="shared" si="0"/>
        <v>0.82698400759430268</v>
      </c>
    </row>
    <row r="19" spans="1:5" x14ac:dyDescent="0.25">
      <c r="A19" s="7">
        <v>16</v>
      </c>
      <c r="B19" s="54" t="s">
        <v>54</v>
      </c>
      <c r="C19" s="58">
        <v>6781.48</v>
      </c>
      <c r="D19" s="61">
        <f t="shared" si="1"/>
        <v>-2.1373651385526316E-3</v>
      </c>
      <c r="E19" s="9">
        <f t="shared" si="0"/>
        <v>-0.21373651385526315</v>
      </c>
    </row>
    <row r="20" spans="1:5" x14ac:dyDescent="0.25">
      <c r="A20" s="7">
        <v>17</v>
      </c>
      <c r="B20" s="54" t="s">
        <v>55</v>
      </c>
      <c r="C20" s="58">
        <v>6775.8</v>
      </c>
      <c r="D20" s="61">
        <f t="shared" si="1"/>
        <v>-8.3792624071145133E-4</v>
      </c>
      <c r="E20" s="9">
        <f t="shared" si="0"/>
        <v>-8.3792624071145128E-2</v>
      </c>
    </row>
    <row r="21" spans="1:5" x14ac:dyDescent="0.25">
      <c r="A21" s="7">
        <v>18</v>
      </c>
      <c r="B21" s="54" t="s">
        <v>56</v>
      </c>
      <c r="C21" s="58">
        <v>6672.62</v>
      </c>
      <c r="D21" s="61">
        <f t="shared" si="1"/>
        <v>-1.534485457694618E-2</v>
      </c>
      <c r="E21" s="9">
        <f t="shared" si="0"/>
        <v>-1.5344854576946181</v>
      </c>
    </row>
    <row r="22" spans="1:5" x14ac:dyDescent="0.25">
      <c r="A22" s="7">
        <v>19</v>
      </c>
      <c r="B22" s="54" t="s">
        <v>57</v>
      </c>
      <c r="C22" s="58">
        <v>6632.19</v>
      </c>
      <c r="D22" s="61">
        <f t="shared" si="1"/>
        <v>-6.0775200013083444E-3</v>
      </c>
      <c r="E22" s="9">
        <f t="shared" si="0"/>
        <v>-0.60775200013083441</v>
      </c>
    </row>
    <row r="23" spans="1:5" x14ac:dyDescent="0.25">
      <c r="A23" s="7">
        <v>20</v>
      </c>
      <c r="B23" s="54" t="s">
        <v>58</v>
      </c>
      <c r="C23" s="58">
        <v>6699.38</v>
      </c>
      <c r="D23" s="61">
        <f t="shared" si="1"/>
        <v>1.0079918404358078E-2</v>
      </c>
      <c r="E23" s="9">
        <f t="shared" si="0"/>
        <v>1.0079918404358079</v>
      </c>
    </row>
    <row r="24" spans="1:5" x14ac:dyDescent="0.25">
      <c r="A24" s="7">
        <v>21</v>
      </c>
      <c r="B24" s="54" t="s">
        <v>59</v>
      </c>
      <c r="C24" s="58">
        <v>6716.09</v>
      </c>
      <c r="D24" s="61">
        <f t="shared" si="1"/>
        <v>2.4911551576874799E-3</v>
      </c>
      <c r="E24" s="9">
        <f t="shared" si="0"/>
        <v>0.24911551576874799</v>
      </c>
    </row>
    <row r="25" spans="1:5" x14ac:dyDescent="0.25">
      <c r="A25" s="7">
        <v>22</v>
      </c>
      <c r="B25" s="54" t="s">
        <v>60</v>
      </c>
      <c r="C25" s="58">
        <v>6624.7</v>
      </c>
      <c r="D25" s="61">
        <f t="shared" si="1"/>
        <v>-1.370105213122259E-2</v>
      </c>
      <c r="E25" s="9">
        <f t="shared" si="0"/>
        <v>-1.3701052131222591</v>
      </c>
    </row>
    <row r="26" spans="1:5" x14ac:dyDescent="0.25">
      <c r="A26" s="7">
        <v>23</v>
      </c>
      <c r="B26" s="54" t="s">
        <v>61</v>
      </c>
      <c r="C26" s="58">
        <v>6606.49</v>
      </c>
      <c r="D26" s="61">
        <f t="shared" si="1"/>
        <v>-2.7525886179107706E-3</v>
      </c>
      <c r="E26" s="9">
        <f t="shared" si="0"/>
        <v>-0.27525886179107706</v>
      </c>
    </row>
    <row r="27" spans="1:5" x14ac:dyDescent="0.25">
      <c r="A27" s="7">
        <v>24</v>
      </c>
      <c r="B27" s="54" t="s">
        <v>62</v>
      </c>
      <c r="C27" s="58">
        <v>6506.48</v>
      </c>
      <c r="D27" s="61">
        <f t="shared" si="1"/>
        <v>-1.5253895829477377E-2</v>
      </c>
      <c r="E27" s="9">
        <f t="shared" si="0"/>
        <v>-1.5253895829477377</v>
      </c>
    </row>
    <row r="28" spans="1:5" x14ac:dyDescent="0.25">
      <c r="A28" s="7">
        <v>25</v>
      </c>
      <c r="B28" s="54" t="s">
        <v>63</v>
      </c>
      <c r="C28" s="58">
        <v>6581</v>
      </c>
      <c r="D28" s="61">
        <f t="shared" si="1"/>
        <v>1.1388106093259189E-2</v>
      </c>
      <c r="E28" s="9">
        <f t="shared" si="0"/>
        <v>1.1388106093259189</v>
      </c>
    </row>
    <row r="29" spans="1:5" x14ac:dyDescent="0.25">
      <c r="A29" s="7">
        <v>26</v>
      </c>
      <c r="B29" s="54" t="s">
        <v>64</v>
      </c>
      <c r="C29" s="58">
        <v>6556.37</v>
      </c>
      <c r="D29" s="61">
        <f t="shared" si="1"/>
        <v>-3.7496133331591376E-3</v>
      </c>
      <c r="E29" s="9">
        <f t="shared" si="0"/>
        <v>-0.37496133331591375</v>
      </c>
    </row>
    <row r="30" spans="1:5" x14ac:dyDescent="0.25">
      <c r="A30" s="7">
        <v>27</v>
      </c>
      <c r="B30" s="54" t="s">
        <v>65</v>
      </c>
      <c r="C30" s="58">
        <v>6591.9</v>
      </c>
      <c r="D30" s="61">
        <f t="shared" si="1"/>
        <v>5.4045264483707691E-3</v>
      </c>
      <c r="E30" s="9">
        <f t="shared" si="0"/>
        <v>0.54045264483707689</v>
      </c>
    </row>
    <row r="31" spans="1:5" x14ac:dyDescent="0.25">
      <c r="A31" s="7">
        <v>28</v>
      </c>
      <c r="B31" s="54" t="s">
        <v>66</v>
      </c>
      <c r="C31" s="58">
        <v>6477.16</v>
      </c>
      <c r="D31" s="61">
        <f t="shared" si="1"/>
        <v>-1.7559479899019164E-2</v>
      </c>
      <c r="E31" s="9">
        <f t="shared" si="0"/>
        <v>-1.7559479899019164</v>
      </c>
    </row>
    <row r="32" spans="1:5" x14ac:dyDescent="0.25">
      <c r="A32" s="7">
        <v>29</v>
      </c>
      <c r="B32" s="54" t="s">
        <v>67</v>
      </c>
      <c r="C32" s="58">
        <v>6368.85</v>
      </c>
      <c r="D32" s="61">
        <f t="shared" si="1"/>
        <v>-1.6863223156244337E-2</v>
      </c>
      <c r="E32" s="9">
        <f t="shared" si="0"/>
        <v>-1.6863223156244338</v>
      </c>
    </row>
    <row r="33" spans="1:5" x14ac:dyDescent="0.25">
      <c r="A33" s="7">
        <v>30</v>
      </c>
      <c r="B33" s="54" t="s">
        <v>68</v>
      </c>
      <c r="C33" s="58">
        <v>6343.72</v>
      </c>
      <c r="D33" s="61">
        <f t="shared" si="1"/>
        <v>-3.9535723670909078E-3</v>
      </c>
      <c r="E33" s="9">
        <f t="shared" si="0"/>
        <v>-0.39535723670909079</v>
      </c>
    </row>
    <row r="34" spans="1:5" x14ac:dyDescent="0.25">
      <c r="A34" s="7">
        <v>31</v>
      </c>
      <c r="B34" s="54" t="s">
        <v>69</v>
      </c>
      <c r="C34" s="58">
        <v>6528.52</v>
      </c>
      <c r="D34" s="61">
        <f t="shared" si="1"/>
        <v>2.8714924185272283E-2</v>
      </c>
      <c r="E34" s="9">
        <f t="shared" si="0"/>
        <v>2.8714924185272284</v>
      </c>
    </row>
    <row r="35" spans="1:5" x14ac:dyDescent="0.25">
      <c r="A35" s="7">
        <v>32</v>
      </c>
      <c r="B35" s="54" t="s">
        <v>70</v>
      </c>
      <c r="C35" s="58">
        <v>6575.32</v>
      </c>
      <c r="D35" s="61">
        <f t="shared" si="1"/>
        <v>7.1429747289302155E-3</v>
      </c>
      <c r="E35" s="9">
        <f t="shared" si="0"/>
        <v>0.71429747289302159</v>
      </c>
    </row>
    <row r="36" spans="1:5" x14ac:dyDescent="0.25">
      <c r="A36" s="7">
        <v>33</v>
      </c>
      <c r="B36" s="54" t="s">
        <v>71</v>
      </c>
      <c r="C36" s="58">
        <v>6582.69</v>
      </c>
      <c r="D36" s="61">
        <f t="shared" si="1"/>
        <v>1.1202303039330127E-3</v>
      </c>
      <c r="E36" s="9">
        <f t="shared" ref="E36:E67" si="2">D36*100</f>
        <v>0.11202303039330128</v>
      </c>
    </row>
    <row r="37" spans="1:5" x14ac:dyDescent="0.25">
      <c r="A37" s="7">
        <v>34</v>
      </c>
      <c r="B37" s="54" t="s">
        <v>72</v>
      </c>
      <c r="C37" s="58">
        <v>6611.83</v>
      </c>
      <c r="D37" s="61">
        <f t="shared" si="1"/>
        <v>4.4169924144776057E-3</v>
      </c>
      <c r="E37" s="9">
        <f t="shared" si="2"/>
        <v>0.44169924144776057</v>
      </c>
    </row>
    <row r="38" spans="1:5" x14ac:dyDescent="0.25">
      <c r="A38" s="7">
        <v>35</v>
      </c>
      <c r="B38" s="54" t="s">
        <v>73</v>
      </c>
      <c r="C38" s="58">
        <v>6616.85</v>
      </c>
      <c r="D38" s="61">
        <f t="shared" si="1"/>
        <v>7.5895709034712322E-4</v>
      </c>
      <c r="E38" s="9">
        <f t="shared" si="2"/>
        <v>7.5895709034712322E-2</v>
      </c>
    </row>
    <row r="39" spans="1:5" x14ac:dyDescent="0.25">
      <c r="A39" s="7">
        <v>36</v>
      </c>
      <c r="B39" s="54" t="s">
        <v>74</v>
      </c>
      <c r="C39" s="58">
        <v>6782.81</v>
      </c>
      <c r="D39" s="61">
        <f t="shared" si="1"/>
        <v>2.4772044477339827E-2</v>
      </c>
      <c r="E39" s="9">
        <f t="shared" si="2"/>
        <v>2.4772044477339827</v>
      </c>
    </row>
    <row r="40" spans="1:5" x14ac:dyDescent="0.25">
      <c r="A40" s="7">
        <v>37</v>
      </c>
      <c r="B40" s="54" t="s">
        <v>75</v>
      </c>
      <c r="C40" s="58">
        <v>6824.66</v>
      </c>
      <c r="D40" s="61">
        <f t="shared" si="1"/>
        <v>6.151052613166395E-3</v>
      </c>
      <c r="E40" s="9">
        <f t="shared" si="2"/>
        <v>0.61510526131663945</v>
      </c>
    </row>
    <row r="41" spans="1:5" x14ac:dyDescent="0.25">
      <c r="A41" s="7">
        <v>38</v>
      </c>
      <c r="B41" s="54" t="s">
        <v>76</v>
      </c>
      <c r="C41" s="58">
        <v>6816.89</v>
      </c>
      <c r="D41" s="61">
        <f t="shared" si="1"/>
        <v>-1.1391668601091422E-3</v>
      </c>
      <c r="E41" s="9">
        <f t="shared" si="2"/>
        <v>-0.11391668601091422</v>
      </c>
    </row>
    <row r="42" spans="1:5" x14ac:dyDescent="0.25">
      <c r="A42" s="7">
        <v>39</v>
      </c>
      <c r="B42" s="54" t="s">
        <v>77</v>
      </c>
      <c r="C42" s="58">
        <v>6886.24</v>
      </c>
      <c r="D42" s="61">
        <f t="shared" si="1"/>
        <v>1.0121861514360059E-2</v>
      </c>
      <c r="E42" s="9">
        <f t="shared" si="2"/>
        <v>1.012186151436006</v>
      </c>
    </row>
    <row r="43" spans="1:5" x14ac:dyDescent="0.25">
      <c r="A43" s="7">
        <v>40</v>
      </c>
      <c r="B43" s="54" t="s">
        <v>78</v>
      </c>
      <c r="C43" s="58">
        <v>6967.38</v>
      </c>
      <c r="D43" s="61">
        <f t="shared" si="1"/>
        <v>1.1714039770857793E-2</v>
      </c>
      <c r="E43" s="9">
        <f t="shared" si="2"/>
        <v>1.1714039770857794</v>
      </c>
    </row>
    <row r="44" spans="1:5" x14ac:dyDescent="0.25">
      <c r="A44" s="7">
        <v>41</v>
      </c>
      <c r="B44" s="54" t="s">
        <v>79</v>
      </c>
      <c r="C44" s="58">
        <v>7022.95</v>
      </c>
      <c r="D44" s="61">
        <f t="shared" si="1"/>
        <v>7.9441002815085933E-3</v>
      </c>
      <c r="E44" s="9">
        <f t="shared" si="2"/>
        <v>0.79441002815085937</v>
      </c>
    </row>
    <row r="45" spans="1:5" x14ac:dyDescent="0.25">
      <c r="A45" s="7">
        <v>42</v>
      </c>
      <c r="B45" s="54" t="s">
        <v>80</v>
      </c>
      <c r="C45" s="58">
        <v>7041.28</v>
      </c>
      <c r="D45" s="61">
        <f t="shared" si="1"/>
        <v>2.6066141379231045E-3</v>
      </c>
      <c r="E45" s="9">
        <f t="shared" si="2"/>
        <v>0.26066141379231045</v>
      </c>
    </row>
    <row r="46" spans="1:5" x14ac:dyDescent="0.25">
      <c r="A46" s="7">
        <v>43</v>
      </c>
      <c r="B46" s="54" t="s">
        <v>81</v>
      </c>
      <c r="C46" s="58">
        <v>7126.06</v>
      </c>
      <c r="D46" s="61">
        <f t="shared" si="1"/>
        <v>1.1968515194245957E-2</v>
      </c>
      <c r="E46" s="9">
        <f t="shared" si="2"/>
        <v>1.1968515194245957</v>
      </c>
    </row>
    <row r="47" spans="1:5" x14ac:dyDescent="0.25">
      <c r="A47" s="7">
        <v>44</v>
      </c>
      <c r="B47" s="54" t="s">
        <v>82</v>
      </c>
      <c r="C47" s="58">
        <v>7109.14</v>
      </c>
      <c r="D47" s="61">
        <f t="shared" si="1"/>
        <v>-2.3772069191958763E-3</v>
      </c>
      <c r="E47" s="9">
        <f t="shared" si="2"/>
        <v>-0.23772069191958764</v>
      </c>
    </row>
    <row r="48" spans="1:5" x14ac:dyDescent="0.25">
      <c r="A48" s="7">
        <v>45</v>
      </c>
      <c r="B48" s="54" t="s">
        <v>83</v>
      </c>
      <c r="C48" s="58">
        <v>7064.01</v>
      </c>
      <c r="D48" s="61">
        <f t="shared" si="1"/>
        <v>-6.3684011707009656E-3</v>
      </c>
      <c r="E48" s="9">
        <f t="shared" si="2"/>
        <v>-0.63684011707009658</v>
      </c>
    </row>
    <row r="49" spans="1:5" x14ac:dyDescent="0.25">
      <c r="A49" s="7">
        <v>46</v>
      </c>
      <c r="B49" s="54" t="s">
        <v>84</v>
      </c>
      <c r="C49" s="58">
        <v>7137.9</v>
      </c>
      <c r="D49" s="61">
        <f t="shared" si="1"/>
        <v>1.0405736514160159E-2</v>
      </c>
      <c r="E49" s="9">
        <f t="shared" si="2"/>
        <v>1.040573651416016</v>
      </c>
    </row>
    <row r="50" spans="1:5" x14ac:dyDescent="0.25">
      <c r="A50" s="7">
        <v>47</v>
      </c>
      <c r="B50" s="54" t="s">
        <v>85</v>
      </c>
      <c r="C50" s="58">
        <v>7108.4</v>
      </c>
      <c r="D50" s="61">
        <f t="shared" si="1"/>
        <v>-4.1414321141621281E-3</v>
      </c>
      <c r="E50" s="9">
        <f t="shared" si="2"/>
        <v>-0.4141432114162128</v>
      </c>
    </row>
    <row r="51" spans="1:5" x14ac:dyDescent="0.25">
      <c r="A51" s="7">
        <v>48</v>
      </c>
      <c r="B51" s="54" t="s">
        <v>86</v>
      </c>
      <c r="C51" s="58">
        <v>7165.08</v>
      </c>
      <c r="D51" s="61">
        <f t="shared" si="1"/>
        <v>7.942043275907907E-3</v>
      </c>
      <c r="E51" s="9">
        <f t="shared" si="2"/>
        <v>0.79420432759079074</v>
      </c>
    </row>
    <row r="52" spans="1:5" x14ac:dyDescent="0.25">
      <c r="A52" s="7">
        <v>49</v>
      </c>
      <c r="B52" s="54" t="s">
        <v>87</v>
      </c>
      <c r="C52" s="58">
        <v>7173.91</v>
      </c>
      <c r="D52" s="61">
        <f t="shared" si="1"/>
        <v>1.2316071238145734E-3</v>
      </c>
      <c r="E52" s="9">
        <f t="shared" si="2"/>
        <v>0.12316071238145734</v>
      </c>
    </row>
    <row r="53" spans="1:5" x14ac:dyDescent="0.25">
      <c r="A53" s="7">
        <v>50</v>
      </c>
      <c r="B53" s="54" t="s">
        <v>88</v>
      </c>
      <c r="C53" s="58">
        <v>7138.8</v>
      </c>
      <c r="D53" s="61">
        <f t="shared" si="1"/>
        <v>-4.9061387291933767E-3</v>
      </c>
      <c r="E53" s="9">
        <f t="shared" si="2"/>
        <v>-0.49061387291933767</v>
      </c>
    </row>
    <row r="54" spans="1:5" x14ac:dyDescent="0.25">
      <c r="A54" s="7">
        <v>51</v>
      </c>
      <c r="B54" s="54" t="s">
        <v>89</v>
      </c>
      <c r="C54" s="58">
        <v>7135.95</v>
      </c>
      <c r="D54" s="61">
        <f t="shared" si="1"/>
        <v>-3.9930647301965165E-4</v>
      </c>
      <c r="E54" s="9">
        <f t="shared" si="2"/>
        <v>-3.9930647301965168E-2</v>
      </c>
    </row>
    <row r="55" spans="1:5" x14ac:dyDescent="0.25">
      <c r="A55" s="7">
        <v>52</v>
      </c>
      <c r="B55" s="54" t="s">
        <v>90</v>
      </c>
      <c r="C55" s="58">
        <v>7209.01</v>
      </c>
      <c r="D55" s="61">
        <f t="shared" si="1"/>
        <v>1.0186244049720987E-2</v>
      </c>
      <c r="E55" s="9">
        <f t="shared" si="2"/>
        <v>1.0186244049720987</v>
      </c>
    </row>
    <row r="56" spans="1:5" x14ac:dyDescent="0.25">
      <c r="A56" s="7">
        <v>53</v>
      </c>
      <c r="B56" s="54" t="s">
        <v>91</v>
      </c>
      <c r="C56" s="58">
        <v>7230.12</v>
      </c>
      <c r="D56" s="61">
        <f t="shared" si="1"/>
        <v>2.9240009668849726E-3</v>
      </c>
      <c r="E56" s="9">
        <f t="shared" si="2"/>
        <v>0.29240009668849726</v>
      </c>
    </row>
    <row r="57" spans="1:5" x14ac:dyDescent="0.25">
      <c r="A57" s="7">
        <v>54</v>
      </c>
      <c r="B57" s="54" t="s">
        <v>92</v>
      </c>
      <c r="C57" s="58">
        <v>7200.75</v>
      </c>
      <c r="D57" s="61">
        <f t="shared" si="1"/>
        <v>-4.0704462796038324E-3</v>
      </c>
      <c r="E57" s="9">
        <f t="shared" si="2"/>
        <v>-0.40704462796038327</v>
      </c>
    </row>
    <row r="58" spans="1:5" x14ac:dyDescent="0.25">
      <c r="A58" s="7">
        <v>55</v>
      </c>
      <c r="B58" s="54" t="s">
        <v>93</v>
      </c>
      <c r="C58" s="58">
        <v>7259.22</v>
      </c>
      <c r="D58" s="61">
        <f t="shared" si="1"/>
        <v>8.0871977845929817E-3</v>
      </c>
      <c r="E58" s="9">
        <f t="shared" si="2"/>
        <v>0.80871977845929821</v>
      </c>
    </row>
    <row r="59" spans="1:5" x14ac:dyDescent="0.25">
      <c r="A59" s="7">
        <v>56</v>
      </c>
      <c r="B59" s="54" t="s">
        <v>94</v>
      </c>
      <c r="C59" s="58">
        <v>7365.12</v>
      </c>
      <c r="D59" s="61">
        <f t="shared" si="1"/>
        <v>1.4482958012583242E-2</v>
      </c>
      <c r="E59" s="9">
        <f t="shared" si="2"/>
        <v>1.4482958012583242</v>
      </c>
    </row>
    <row r="60" spans="1:5" x14ac:dyDescent="0.25">
      <c r="A60" s="7">
        <v>57</v>
      </c>
      <c r="B60" s="54" t="s">
        <v>95</v>
      </c>
      <c r="C60" s="58">
        <v>7337.11</v>
      </c>
      <c r="D60" s="61">
        <f t="shared" si="1"/>
        <v>-3.8103109376631393E-3</v>
      </c>
      <c r="E60" s="9">
        <f t="shared" si="2"/>
        <v>-0.38103109376631394</v>
      </c>
    </row>
    <row r="61" spans="1:5" x14ac:dyDescent="0.25">
      <c r="A61" s="7">
        <v>58</v>
      </c>
      <c r="B61" s="54" t="s">
        <v>96</v>
      </c>
      <c r="C61" s="58">
        <v>7398.93</v>
      </c>
      <c r="D61" s="61">
        <f t="shared" si="1"/>
        <v>8.3903630375044835E-3</v>
      </c>
      <c r="E61" s="9">
        <f t="shared" si="2"/>
        <v>0.83903630375044835</v>
      </c>
    </row>
    <row r="62" spans="1:5" x14ac:dyDescent="0.25">
      <c r="A62" s="7">
        <v>59</v>
      </c>
      <c r="B62" s="54" t="s">
        <v>97</v>
      </c>
      <c r="C62" s="58">
        <v>7412.84</v>
      </c>
      <c r="D62" s="61">
        <f t="shared" si="1"/>
        <v>1.8782365766246575E-3</v>
      </c>
      <c r="E62" s="9">
        <f t="shared" si="2"/>
        <v>0.18782365766246575</v>
      </c>
    </row>
    <row r="63" spans="1:5" x14ac:dyDescent="0.25">
      <c r="A63" s="7">
        <v>60</v>
      </c>
      <c r="B63" s="54" t="s">
        <v>98</v>
      </c>
      <c r="C63" s="58">
        <v>7400.96</v>
      </c>
      <c r="D63" s="61">
        <f t="shared" si="1"/>
        <v>-1.6039102116678665E-3</v>
      </c>
      <c r="E63" s="9">
        <f t="shared" si="2"/>
        <v>-0.16039102116678663</v>
      </c>
    </row>
    <row r="64" spans="1:5" x14ac:dyDescent="0.25">
      <c r="A64" s="7">
        <v>61</v>
      </c>
      <c r="B64" s="54" t="s">
        <v>99</v>
      </c>
      <c r="C64" s="58">
        <v>7444.25</v>
      </c>
      <c r="D64" s="61">
        <f t="shared" si="1"/>
        <v>5.8322007849638527E-3</v>
      </c>
      <c r="E64" s="9">
        <f t="shared" si="2"/>
        <v>0.58322007849638524</v>
      </c>
    </row>
    <row r="65" spans="1:5" x14ac:dyDescent="0.25">
      <c r="A65" s="7">
        <v>62</v>
      </c>
      <c r="B65" s="54" t="s">
        <v>100</v>
      </c>
      <c r="C65" s="58">
        <v>7501.24</v>
      </c>
      <c r="D65" s="61">
        <f t="shared" si="1"/>
        <v>7.6264178989046798E-3</v>
      </c>
      <c r="E65" s="9">
        <f t="shared" si="2"/>
        <v>0.76264178989046794</v>
      </c>
    </row>
    <row r="66" spans="1:5" x14ac:dyDescent="0.25">
      <c r="A66" s="7">
        <v>63</v>
      </c>
      <c r="B66" s="54" t="s">
        <v>101</v>
      </c>
      <c r="C66" s="58">
        <v>7408.5</v>
      </c>
      <c r="D66" s="61">
        <f t="shared" si="1"/>
        <v>-1.2440350542896567E-2</v>
      </c>
      <c r="E66" s="9">
        <f t="shared" si="2"/>
        <v>-1.2440350542896568</v>
      </c>
    </row>
    <row r="67" spans="1:5" x14ac:dyDescent="0.25">
      <c r="A67" s="7">
        <v>64</v>
      </c>
      <c r="B67" s="54" t="s">
        <v>102</v>
      </c>
      <c r="C67" s="58">
        <v>7403.05</v>
      </c>
      <c r="D67" s="61">
        <f t="shared" si="1"/>
        <v>-7.3591220985800621E-4</v>
      </c>
      <c r="E67" s="9">
        <f t="shared" si="2"/>
        <v>-7.3591220985800621E-2</v>
      </c>
    </row>
    <row r="68" spans="1:5" x14ac:dyDescent="0.25">
      <c r="A68" s="7">
        <v>65</v>
      </c>
      <c r="B68" s="54" t="s">
        <v>103</v>
      </c>
      <c r="C68" s="58">
        <v>7353.61</v>
      </c>
      <c r="D68" s="61">
        <f t="shared" si="1"/>
        <v>-6.7007283473191409E-3</v>
      </c>
      <c r="E68" s="9">
        <f t="shared" ref="E68:E99" si="3">D68*100</f>
        <v>-0.67007283473191404</v>
      </c>
    </row>
    <row r="69" spans="1:5" x14ac:dyDescent="0.25">
      <c r="A69" s="7">
        <v>66</v>
      </c>
      <c r="B69" s="54" t="s">
        <v>104</v>
      </c>
      <c r="C69" s="58">
        <v>7432.97</v>
      </c>
      <c r="D69" s="61">
        <f t="shared" ref="D69:D103" si="4">LN(C69/C68)</f>
        <v>1.073416057010809E-2</v>
      </c>
      <c r="E69" s="9">
        <f t="shared" si="3"/>
        <v>1.0734160570108091</v>
      </c>
    </row>
    <row r="70" spans="1:5" x14ac:dyDescent="0.25">
      <c r="A70" s="7">
        <v>67</v>
      </c>
      <c r="B70" s="54" t="s">
        <v>105</v>
      </c>
      <c r="C70" s="58">
        <v>7445.72</v>
      </c>
      <c r="D70" s="61">
        <f t="shared" si="4"/>
        <v>1.7138609811618597E-3</v>
      </c>
      <c r="E70" s="9">
        <f t="shared" si="3"/>
        <v>0.17138609811618596</v>
      </c>
    </row>
    <row r="71" spans="1:5" x14ac:dyDescent="0.25">
      <c r="A71" s="7">
        <v>68</v>
      </c>
      <c r="B71" s="54" t="s">
        <v>106</v>
      </c>
      <c r="C71" s="58">
        <v>7473.47</v>
      </c>
      <c r="D71" s="61">
        <f t="shared" si="4"/>
        <v>3.7200453914820997E-3</v>
      </c>
      <c r="E71" s="9">
        <f t="shared" si="3"/>
        <v>0.37200453914820997</v>
      </c>
    </row>
    <row r="72" spans="1:5" x14ac:dyDescent="0.25">
      <c r="A72" s="7">
        <v>69</v>
      </c>
      <c r="B72" s="54" t="s">
        <v>107</v>
      </c>
      <c r="C72" s="58">
        <v>7519.12</v>
      </c>
      <c r="D72" s="61">
        <f t="shared" si="4"/>
        <v>6.0896937854017941E-3</v>
      </c>
      <c r="E72" s="9">
        <f t="shared" si="3"/>
        <v>0.60896937854017941</v>
      </c>
    </row>
    <row r="73" spans="1:5" x14ac:dyDescent="0.25">
      <c r="A73" s="7">
        <v>70</v>
      </c>
      <c r="B73" s="54" t="s">
        <v>108</v>
      </c>
      <c r="C73" s="58">
        <v>7520.36</v>
      </c>
      <c r="D73" s="61">
        <f t="shared" si="4"/>
        <v>1.648993187011506E-4</v>
      </c>
      <c r="E73" s="9">
        <f t="shared" si="3"/>
        <v>1.6489931870115059E-2</v>
      </c>
    </row>
    <row r="74" spans="1:5" x14ac:dyDescent="0.25">
      <c r="A74" s="7">
        <v>71</v>
      </c>
      <c r="B74" s="54" t="s">
        <v>109</v>
      </c>
      <c r="C74" s="58">
        <v>7563.63</v>
      </c>
      <c r="D74" s="61">
        <f t="shared" si="4"/>
        <v>5.7372245259546557E-3</v>
      </c>
      <c r="E74" s="9">
        <f t="shared" si="3"/>
        <v>0.57372245259546562</v>
      </c>
    </row>
    <row r="75" spans="1:5" x14ac:dyDescent="0.25">
      <c r="A75" s="7">
        <v>72</v>
      </c>
      <c r="B75" s="54" t="s">
        <v>110</v>
      </c>
      <c r="C75" s="58">
        <v>7580.06</v>
      </c>
      <c r="D75" s="61">
        <f t="shared" si="4"/>
        <v>2.1698815079501913E-3</v>
      </c>
      <c r="E75" s="9">
        <f t="shared" si="3"/>
        <v>0.21698815079501912</v>
      </c>
    </row>
    <row r="76" spans="1:5" x14ac:dyDescent="0.25">
      <c r="A76" s="7">
        <v>73</v>
      </c>
      <c r="B76" s="54" t="s">
        <v>111</v>
      </c>
      <c r="C76" s="58">
        <v>7599.96</v>
      </c>
      <c r="D76" s="61">
        <f t="shared" si="4"/>
        <v>2.6218689303053738E-3</v>
      </c>
      <c r="E76" s="9">
        <f t="shared" si="3"/>
        <v>0.26218689303053738</v>
      </c>
    </row>
    <row r="77" spans="1:5" x14ac:dyDescent="0.25">
      <c r="A77" s="7">
        <v>74</v>
      </c>
      <c r="B77" s="54" t="s">
        <v>112</v>
      </c>
      <c r="C77" s="58">
        <v>7609.78</v>
      </c>
      <c r="D77" s="61">
        <f t="shared" si="4"/>
        <v>1.2912780053423547E-3</v>
      </c>
      <c r="E77" s="9">
        <f t="shared" si="3"/>
        <v>0.12912780053423548</v>
      </c>
    </row>
    <row r="78" spans="1:5" x14ac:dyDescent="0.25">
      <c r="A78" s="7">
        <v>75</v>
      </c>
      <c r="B78" s="54" t="s">
        <v>113</v>
      </c>
      <c r="C78" s="58">
        <v>7553.68</v>
      </c>
      <c r="D78" s="61">
        <f t="shared" si="4"/>
        <v>-7.3994003955932426E-3</v>
      </c>
      <c r="E78" s="9">
        <f t="shared" si="3"/>
        <v>-0.7399400395593243</v>
      </c>
    </row>
    <row r="79" spans="1:5" x14ac:dyDescent="0.25">
      <c r="A79" s="7">
        <v>76</v>
      </c>
      <c r="B79" s="54" t="s">
        <v>114</v>
      </c>
      <c r="C79" s="58">
        <v>7584.31</v>
      </c>
      <c r="D79" s="61">
        <f t="shared" si="4"/>
        <v>4.0467779144759105E-3</v>
      </c>
      <c r="E79" s="9">
        <f t="shared" si="3"/>
        <v>0.40467779144759103</v>
      </c>
    </row>
    <row r="80" spans="1:5" x14ac:dyDescent="0.25">
      <c r="A80" s="7">
        <v>77</v>
      </c>
      <c r="B80" s="54" t="s">
        <v>115</v>
      </c>
      <c r="C80" s="58">
        <v>7383.74</v>
      </c>
      <c r="D80" s="61">
        <f t="shared" si="4"/>
        <v>-2.6801354331751116E-2</v>
      </c>
      <c r="E80" s="9">
        <f t="shared" si="3"/>
        <v>-2.6801354331751117</v>
      </c>
    </row>
    <row r="81" spans="1:5" x14ac:dyDescent="0.25">
      <c r="A81" s="7">
        <v>78</v>
      </c>
      <c r="B81" s="54" t="s">
        <v>116</v>
      </c>
      <c r="C81" s="58">
        <v>7405.73</v>
      </c>
      <c r="D81" s="61">
        <f t="shared" si="4"/>
        <v>2.9737395870207137E-3</v>
      </c>
      <c r="E81" s="9">
        <f t="shared" si="3"/>
        <v>0.29737395870207139</v>
      </c>
    </row>
    <row r="82" spans="1:5" x14ac:dyDescent="0.25">
      <c r="A82" s="7">
        <v>79</v>
      </c>
      <c r="B82" s="54" t="s">
        <v>117</v>
      </c>
      <c r="C82" s="58">
        <v>7386.65</v>
      </c>
      <c r="D82" s="61">
        <f t="shared" si="4"/>
        <v>-2.579708009296603E-3</v>
      </c>
      <c r="E82" s="9">
        <f t="shared" si="3"/>
        <v>-0.25797080092966029</v>
      </c>
    </row>
    <row r="83" spans="1:5" x14ac:dyDescent="0.25">
      <c r="A83" s="7">
        <v>80</v>
      </c>
      <c r="B83" s="54" t="s">
        <v>118</v>
      </c>
      <c r="C83" s="58">
        <v>7266.99</v>
      </c>
      <c r="D83" s="61">
        <f t="shared" si="4"/>
        <v>-1.6332141340852126E-2</v>
      </c>
      <c r="E83" s="9">
        <f t="shared" si="3"/>
        <v>-1.6332141340852127</v>
      </c>
    </row>
    <row r="84" spans="1:5" x14ac:dyDescent="0.25">
      <c r="A84" s="7">
        <v>81</v>
      </c>
      <c r="B84" s="54" t="s">
        <v>119</v>
      </c>
      <c r="C84" s="58">
        <v>7394.3</v>
      </c>
      <c r="D84" s="61">
        <f t="shared" si="4"/>
        <v>1.7367257579397138E-2</v>
      </c>
      <c r="E84" s="9">
        <f t="shared" si="3"/>
        <v>1.736725757939714</v>
      </c>
    </row>
    <row r="85" spans="1:5" x14ac:dyDescent="0.25">
      <c r="A85" s="7">
        <v>82</v>
      </c>
      <c r="B85" s="54" t="s">
        <v>120</v>
      </c>
      <c r="C85" s="58">
        <v>7431.46</v>
      </c>
      <c r="D85" s="61">
        <f t="shared" si="4"/>
        <v>5.0129069696037117E-3</v>
      </c>
      <c r="E85" s="9">
        <f t="shared" si="3"/>
        <v>0.50129069696037121</v>
      </c>
    </row>
    <row r="86" spans="1:5" x14ac:dyDescent="0.25">
      <c r="A86" s="7">
        <v>83</v>
      </c>
      <c r="B86" s="54" t="s">
        <v>121</v>
      </c>
      <c r="C86" s="58">
        <v>7554.29</v>
      </c>
      <c r="D86" s="61">
        <f t="shared" si="4"/>
        <v>1.6393273711308838E-2</v>
      </c>
      <c r="E86" s="9">
        <f t="shared" si="3"/>
        <v>1.6393273711308838</v>
      </c>
    </row>
    <row r="87" spans="1:5" x14ac:dyDescent="0.25">
      <c r="A87" s="7">
        <v>84</v>
      </c>
      <c r="B87" s="54" t="s">
        <v>122</v>
      </c>
      <c r="C87" s="58">
        <v>7511.35</v>
      </c>
      <c r="D87" s="61">
        <f t="shared" si="4"/>
        <v>-5.7004038695285929E-3</v>
      </c>
      <c r="E87" s="9">
        <f t="shared" si="3"/>
        <v>-0.5700403869528593</v>
      </c>
    </row>
    <row r="88" spans="1:5" x14ac:dyDescent="0.25">
      <c r="A88" s="7">
        <v>85</v>
      </c>
      <c r="B88" s="54" t="s">
        <v>123</v>
      </c>
      <c r="C88" s="58">
        <v>7420.1</v>
      </c>
      <c r="D88" s="61">
        <f t="shared" si="4"/>
        <v>-1.222267576324425E-2</v>
      </c>
      <c r="E88" s="9">
        <f t="shared" si="3"/>
        <v>-1.2222675763244251</v>
      </c>
    </row>
    <row r="89" spans="1:5" x14ac:dyDescent="0.25">
      <c r="A89" s="7">
        <v>86</v>
      </c>
      <c r="B89" s="54" t="s">
        <v>124</v>
      </c>
      <c r="C89" s="58">
        <v>7500.58</v>
      </c>
      <c r="D89" s="61">
        <f t="shared" si="4"/>
        <v>1.0787816708107183E-2</v>
      </c>
      <c r="E89" s="9">
        <f t="shared" si="3"/>
        <v>1.0787816708107183</v>
      </c>
    </row>
    <row r="90" spans="1:5" x14ac:dyDescent="0.25">
      <c r="A90" s="7">
        <v>87</v>
      </c>
      <c r="B90" s="54" t="s">
        <v>125</v>
      </c>
      <c r="C90" s="58">
        <v>7472.79</v>
      </c>
      <c r="D90" s="61">
        <f t="shared" si="4"/>
        <v>-3.7119274964131756E-3</v>
      </c>
      <c r="E90" s="9">
        <f t="shared" si="3"/>
        <v>-0.37119274964131754</v>
      </c>
    </row>
    <row r="91" spans="1:5" x14ac:dyDescent="0.25">
      <c r="A91" s="7">
        <v>88</v>
      </c>
      <c r="B91" s="54" t="s">
        <v>126</v>
      </c>
      <c r="C91" s="58">
        <v>7365.46</v>
      </c>
      <c r="D91" s="61">
        <f t="shared" si="4"/>
        <v>-1.446691785533019E-2</v>
      </c>
      <c r="E91" s="9">
        <f t="shared" si="3"/>
        <v>-1.446691785533019</v>
      </c>
    </row>
    <row r="92" spans="1:5" x14ac:dyDescent="0.25">
      <c r="A92" s="7">
        <v>89</v>
      </c>
      <c r="B92" s="54" t="s">
        <v>127</v>
      </c>
      <c r="C92" s="58">
        <v>7358.22</v>
      </c>
      <c r="D92" s="61">
        <f t="shared" si="4"/>
        <v>-9.834498689903408E-4</v>
      </c>
      <c r="E92" s="9">
        <f t="shared" si="3"/>
        <v>-9.8344986899034079E-2</v>
      </c>
    </row>
    <row r="93" spans="1:5" x14ac:dyDescent="0.25">
      <c r="A93" s="7">
        <v>90</v>
      </c>
      <c r="B93" s="54" t="s">
        <v>128</v>
      </c>
      <c r="C93" s="58">
        <v>7357.49</v>
      </c>
      <c r="D93" s="61">
        <f t="shared" si="4"/>
        <v>-9.9213697551659894E-5</v>
      </c>
      <c r="E93" s="9">
        <f t="shared" si="3"/>
        <v>-9.9213697551659898E-3</v>
      </c>
    </row>
    <row r="94" spans="1:5" x14ac:dyDescent="0.25">
      <c r="A94" s="7">
        <v>91</v>
      </c>
      <c r="B94" s="54" t="s">
        <v>129</v>
      </c>
      <c r="C94" s="58">
        <v>7354.02</v>
      </c>
      <c r="D94" s="61">
        <f t="shared" si="4"/>
        <v>-4.7173948348602443E-4</v>
      </c>
      <c r="E94" s="9">
        <f t="shared" si="3"/>
        <v>-4.7173948348602446E-2</v>
      </c>
    </row>
    <row r="95" spans="1:5" x14ac:dyDescent="0.25">
      <c r="A95" s="7">
        <v>92</v>
      </c>
      <c r="B95" s="54" t="s">
        <v>130</v>
      </c>
      <c r="C95" s="58">
        <v>7440.43</v>
      </c>
      <c r="D95" s="61">
        <f t="shared" si="4"/>
        <v>1.1681540390059574E-2</v>
      </c>
      <c r="E95" s="9">
        <f t="shared" si="3"/>
        <v>1.1681540390059575</v>
      </c>
    </row>
    <row r="96" spans="1:5" x14ac:dyDescent="0.25">
      <c r="A96" s="7">
        <v>93</v>
      </c>
      <c r="B96" s="54" t="s">
        <v>131</v>
      </c>
      <c r="C96" s="58">
        <v>7499.36</v>
      </c>
      <c r="D96" s="61">
        <f t="shared" si="4"/>
        <v>7.8890406940170833E-3</v>
      </c>
      <c r="E96" s="9">
        <f t="shared" si="3"/>
        <v>0.78890406940170832</v>
      </c>
    </row>
    <row r="97" spans="1:5" x14ac:dyDescent="0.25">
      <c r="A97" s="7">
        <v>94</v>
      </c>
      <c r="B97" s="54" t="s">
        <v>132</v>
      </c>
      <c r="C97" s="58">
        <v>7483.23</v>
      </c>
      <c r="D97" s="61">
        <f t="shared" si="4"/>
        <v>-2.1531666062711637E-3</v>
      </c>
      <c r="E97" s="9">
        <f t="shared" si="3"/>
        <v>-0.21531666062711638</v>
      </c>
    </row>
    <row r="98" spans="1:5" x14ac:dyDescent="0.25">
      <c r="A98" s="7">
        <v>95</v>
      </c>
      <c r="B98" s="54" t="s">
        <v>133</v>
      </c>
      <c r="C98" s="58">
        <v>7483.24</v>
      </c>
      <c r="D98" s="61">
        <f t="shared" si="4"/>
        <v>1.3363204549235743E-6</v>
      </c>
      <c r="E98" s="9">
        <f t="shared" si="3"/>
        <v>1.3363204549235742E-4</v>
      </c>
    </row>
    <row r="99" spans="1:5" x14ac:dyDescent="0.25">
      <c r="A99" s="7">
        <v>96</v>
      </c>
      <c r="B99" s="54" t="s">
        <v>134</v>
      </c>
      <c r="C99" s="58">
        <v>7537.43</v>
      </c>
      <c r="D99" s="61">
        <f t="shared" si="4"/>
        <v>7.2154218293220126E-3</v>
      </c>
      <c r="E99" s="9">
        <f t="shared" si="3"/>
        <v>0.72154218293220129</v>
      </c>
    </row>
    <row r="100" spans="1:5" x14ac:dyDescent="0.25">
      <c r="A100" s="7">
        <v>97</v>
      </c>
      <c r="B100" s="54" t="s">
        <v>135</v>
      </c>
      <c r="C100" s="58">
        <v>7503.85</v>
      </c>
      <c r="D100" s="61">
        <f t="shared" si="4"/>
        <v>-4.4650529462263375E-3</v>
      </c>
      <c r="E100" s="9">
        <f t="shared" ref="E100:E103" si="5">D100*100</f>
        <v>-0.44650529462263377</v>
      </c>
    </row>
    <row r="101" spans="1:5" x14ac:dyDescent="0.25">
      <c r="A101" s="7">
        <v>98</v>
      </c>
      <c r="B101" s="54" t="s">
        <v>136</v>
      </c>
      <c r="C101" s="58">
        <v>7482.71</v>
      </c>
      <c r="D101" s="61">
        <f t="shared" si="4"/>
        <v>-2.8211963280920745E-3</v>
      </c>
      <c r="E101" s="9">
        <f t="shared" si="5"/>
        <v>-0.28211963280920743</v>
      </c>
    </row>
    <row r="102" spans="1:5" x14ac:dyDescent="0.25">
      <c r="A102" s="7">
        <v>99</v>
      </c>
      <c r="B102" s="54" t="s">
        <v>137</v>
      </c>
      <c r="C102" s="58">
        <v>7543.64</v>
      </c>
      <c r="D102" s="61">
        <f t="shared" si="4"/>
        <v>8.1097983130782817E-3</v>
      </c>
      <c r="E102" s="9">
        <f t="shared" si="5"/>
        <v>0.81097983130782814</v>
      </c>
    </row>
    <row r="103" spans="1:5" ht="15.75" thickBot="1" x14ac:dyDescent="0.3">
      <c r="A103" s="8">
        <v>100</v>
      </c>
      <c r="B103" s="55" t="s">
        <v>138</v>
      </c>
      <c r="C103" s="59">
        <v>7575.39</v>
      </c>
      <c r="D103" s="62">
        <f t="shared" si="4"/>
        <v>4.2000110685318937E-3</v>
      </c>
      <c r="E103" s="10">
        <f t="shared" si="5"/>
        <v>0.42000110685318937</v>
      </c>
    </row>
    <row r="104" spans="1:5" ht="15.75" thickBot="1" x14ac:dyDescent="0.3"/>
    <row r="105" spans="1:5" ht="15.75" thickBot="1" x14ac:dyDescent="0.3">
      <c r="A105" s="69" t="s">
        <v>2</v>
      </c>
      <c r="B105" s="70"/>
      <c r="D105" s="96" t="s">
        <v>143</v>
      </c>
      <c r="E105" s="96"/>
    </row>
    <row r="106" spans="1:5" x14ac:dyDescent="0.25">
      <c r="A106" s="63" t="s">
        <v>3</v>
      </c>
      <c r="B106" s="66">
        <f>COUNT(D4:D103)</f>
        <v>100</v>
      </c>
      <c r="D106" s="96"/>
      <c r="E106" s="96"/>
    </row>
    <row r="107" spans="1:5" x14ac:dyDescent="0.25">
      <c r="A107" s="64" t="s">
        <v>4</v>
      </c>
      <c r="B107" s="67">
        <f>AVERAGE(D4:D103)</f>
        <v>1.0267720193043875E-3</v>
      </c>
      <c r="D107" s="96"/>
      <c r="E107" s="96"/>
    </row>
    <row r="108" spans="1:5" x14ac:dyDescent="0.25">
      <c r="A108" s="64" t="s">
        <v>5</v>
      </c>
      <c r="B108" s="67">
        <f>STDEV(D4:D103)</f>
        <v>9.0502011035889056E-3</v>
      </c>
      <c r="D108" s="96"/>
      <c r="E108" s="96"/>
    </row>
    <row r="109" spans="1:5" x14ac:dyDescent="0.25">
      <c r="A109" s="64" t="s">
        <v>6</v>
      </c>
      <c r="B109" s="67">
        <f>VAR(D4:D103)</f>
        <v>8.1906140015401832E-5</v>
      </c>
      <c r="D109" s="96"/>
      <c r="E109" s="96"/>
    </row>
    <row r="110" spans="1:5" x14ac:dyDescent="0.25">
      <c r="A110" s="64" t="s">
        <v>7</v>
      </c>
      <c r="B110" s="67">
        <f>KURT(D4:D103)</f>
        <v>0.93854239458905075</v>
      </c>
      <c r="D110" s="96"/>
      <c r="E110" s="96"/>
    </row>
    <row r="111" spans="1:5" x14ac:dyDescent="0.25">
      <c r="A111" s="64" t="s">
        <v>8</v>
      </c>
      <c r="B111" s="67">
        <f>MIN(D4:D103)</f>
        <v>-2.6801354331751116E-2</v>
      </c>
      <c r="D111" s="96"/>
      <c r="E111" s="96"/>
    </row>
    <row r="112" spans="1:5" ht="15.75" thickBot="1" x14ac:dyDescent="0.3">
      <c r="A112" s="65" t="s">
        <v>9</v>
      </c>
      <c r="B112" s="68">
        <f>MAX(D4:D103)</f>
        <v>2.8714924185272283E-2</v>
      </c>
      <c r="D112" s="96"/>
      <c r="E112" s="96"/>
    </row>
  </sheetData>
  <mergeCells count="3">
    <mergeCell ref="A1:E1"/>
    <mergeCell ref="A105:B105"/>
    <mergeCell ref="D105:E112"/>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Views>
    <sheetView showGridLines="0" zoomScaleNormal="100" workbookViewId="0">
      <pane ySplit="12" topLeftCell="A17" activePane="bottomLeft" state="frozen"/>
      <selection pane="bottomLeft" activeCell="D12" sqref="D12"/>
    </sheetView>
  </sheetViews>
  <sheetFormatPr baseColWidth="10" defaultColWidth="8.7109375" defaultRowHeight="15" x14ac:dyDescent="0.25"/>
  <cols>
    <col min="1" max="1" width="38.5703125" customWidth="1"/>
    <col min="2" max="2" width="25.5703125" customWidth="1"/>
    <col min="3" max="3" width="12.5703125" customWidth="1"/>
    <col min="4" max="4" width="26.7109375" customWidth="1"/>
    <col min="5" max="5" width="15.5703125" bestFit="1" customWidth="1"/>
    <col min="6" max="6" width="14.42578125" bestFit="1" customWidth="1"/>
    <col min="7" max="7" width="17.42578125" bestFit="1" customWidth="1"/>
    <col min="8" max="8" width="19.5703125" bestFit="1" customWidth="1"/>
  </cols>
  <sheetData>
    <row r="1" spans="1:8" ht="27.75" customHeight="1" thickBot="1" x14ac:dyDescent="0.3">
      <c r="A1" s="17" t="s">
        <v>148</v>
      </c>
      <c r="B1" s="18"/>
      <c r="C1" s="18"/>
      <c r="D1" s="18"/>
      <c r="E1" s="18"/>
      <c r="F1" s="18"/>
      <c r="G1" s="18"/>
      <c r="H1" s="19"/>
    </row>
    <row r="2" spans="1:8" ht="15.75" thickBot="1" x14ac:dyDescent="0.3"/>
    <row r="3" spans="1:8" ht="15.75" customHeight="1" thickBot="1" x14ac:dyDescent="0.3">
      <c r="A3" s="50" t="s">
        <v>140</v>
      </c>
      <c r="B3" s="52"/>
      <c r="C3" s="98" t="s">
        <v>150</v>
      </c>
      <c r="D3" s="98"/>
      <c r="E3" s="97" t="s">
        <v>146</v>
      </c>
      <c r="F3" s="97"/>
    </row>
    <row r="4" spans="1:8" x14ac:dyDescent="0.25">
      <c r="A4" s="63" t="s">
        <v>10</v>
      </c>
      <c r="B4" s="73">
        <v>1.2E-5</v>
      </c>
      <c r="C4" s="98"/>
      <c r="D4" s="98"/>
      <c r="E4" s="97"/>
      <c r="F4" s="97"/>
    </row>
    <row r="5" spans="1:8" x14ac:dyDescent="0.25">
      <c r="A5" s="64" t="s">
        <v>11</v>
      </c>
      <c r="B5" s="74">
        <v>0.1</v>
      </c>
      <c r="C5" s="98"/>
      <c r="D5" s="98"/>
      <c r="E5" s="97"/>
      <c r="F5" s="97"/>
    </row>
    <row r="6" spans="1:8" ht="15" customHeight="1" x14ac:dyDescent="0.25">
      <c r="A6" s="64" t="s">
        <v>12</v>
      </c>
      <c r="B6" s="74">
        <v>0.85</v>
      </c>
      <c r="C6" s="98"/>
      <c r="D6" s="98"/>
      <c r="E6" s="97"/>
      <c r="F6" s="97"/>
    </row>
    <row r="7" spans="1:8" x14ac:dyDescent="0.25">
      <c r="A7" s="64" t="s">
        <v>13</v>
      </c>
      <c r="B7" s="71">
        <f>B5+B6</f>
        <v>0.95</v>
      </c>
      <c r="C7" s="98"/>
      <c r="D7" s="98"/>
      <c r="E7" s="97"/>
      <c r="F7" s="97"/>
    </row>
    <row r="8" spans="1:8" x14ac:dyDescent="0.25">
      <c r="A8" s="64" t="s">
        <v>14</v>
      </c>
      <c r="B8" s="67">
        <f>IF(B7&lt;1,B4/(1-B7),"No definida (GARCH/no estacionario)")</f>
        <v>2.3999999999999979E-4</v>
      </c>
      <c r="C8" s="98"/>
      <c r="D8" s="98"/>
      <c r="E8" s="97"/>
      <c r="F8" s="97"/>
    </row>
    <row r="9" spans="1:8" ht="15.75" thickBot="1" x14ac:dyDescent="0.3">
      <c r="A9" s="65" t="s">
        <v>15</v>
      </c>
      <c r="B9" s="72">
        <f>IF(B7&lt;1,SQRT(B8),"—")</f>
        <v>1.5491933384829661E-2</v>
      </c>
      <c r="C9" s="98"/>
      <c r="D9" s="98"/>
      <c r="E9" s="97"/>
      <c r="F9" s="97"/>
    </row>
    <row r="10" spans="1:8" x14ac:dyDescent="0.25">
      <c r="C10" s="98"/>
      <c r="D10" s="98"/>
    </row>
    <row r="11" spans="1:8" ht="15.75" thickBot="1" x14ac:dyDescent="0.3"/>
    <row r="12" spans="1:8" ht="15.75" thickBot="1" x14ac:dyDescent="0.3">
      <c r="A12" s="23" t="s">
        <v>0</v>
      </c>
      <c r="B12" s="24" t="s">
        <v>147</v>
      </c>
      <c r="C12" s="12" t="s">
        <v>149</v>
      </c>
      <c r="D12" s="13" t="s">
        <v>16</v>
      </c>
      <c r="E12" s="12" t="s">
        <v>17</v>
      </c>
      <c r="F12" s="13" t="s">
        <v>18</v>
      </c>
      <c r="G12" s="12" t="s">
        <v>19</v>
      </c>
      <c r="H12" s="38" t="s">
        <v>20</v>
      </c>
    </row>
    <row r="13" spans="1:8" x14ac:dyDescent="0.25">
      <c r="A13" s="22">
        <v>1</v>
      </c>
      <c r="B13" s="25">
        <f>Datos!D4</f>
        <v>1.0307478073486504E-3</v>
      </c>
      <c r="C13" s="28">
        <f>B13^2</f>
        <v>1.0624410423540507E-6</v>
      </c>
      <c r="D13" s="30">
        <f>Datos!$B$109</f>
        <v>8.1906140015401832E-5</v>
      </c>
      <c r="E13" s="33">
        <f t="shared" ref="E13:E44" si="0">SQRT(D13)</f>
        <v>9.0502011035889056E-3</v>
      </c>
      <c r="F13" s="35">
        <f t="shared" ref="F13:F44" si="1">E13*SQRT(252)</f>
        <v>0.14366748861131132</v>
      </c>
      <c r="G13" s="42">
        <f ca="1">NORMSINV(RAND())</f>
        <v>-0.21398339962680016</v>
      </c>
      <c r="H13" s="39">
        <f t="shared" ref="H13:H44" ca="1" si="2">E13*G13</f>
        <v>-1.9365927994521726E-3</v>
      </c>
    </row>
    <row r="14" spans="1:8" x14ac:dyDescent="0.25">
      <c r="A14" s="20">
        <v>2</v>
      </c>
      <c r="B14" s="26">
        <f>Datos!D5</f>
        <v>5.55065970134696E-3</v>
      </c>
      <c r="C14" s="29">
        <f>B14^2</f>
        <v>3.0809823120157127E-5</v>
      </c>
      <c r="D14" s="31">
        <f>$B$4+$B$5*C13+$B$6*D13</f>
        <v>8.1726463117326968E-5</v>
      </c>
      <c r="E14" s="34">
        <f t="shared" si="0"/>
        <v>9.0402689737267752E-3</v>
      </c>
      <c r="F14" s="36">
        <f t="shared" si="1"/>
        <v>0.14350982093768494</v>
      </c>
      <c r="G14" s="43">
        <f t="shared" ref="G13:G44" ca="1" si="3">NORMSINV(RAND())</f>
        <v>0.71379582750268511</v>
      </c>
      <c r="H14" s="40">
        <f t="shared" ca="1" si="2"/>
        <v>6.4529062729481532E-3</v>
      </c>
    </row>
    <row r="15" spans="1:8" x14ac:dyDescent="0.25">
      <c r="A15" s="20">
        <v>3</v>
      </c>
      <c r="B15" s="26">
        <f>Datos!D6</f>
        <v>-2.8261268009801056E-3</v>
      </c>
      <c r="C15" s="29">
        <f>B15^2</f>
        <v>7.986992695218046E-6</v>
      </c>
      <c r="D15" s="31">
        <f>$B$4+$B$5*C14+$B$6*D14</f>
        <v>8.4548475961743641E-5</v>
      </c>
      <c r="E15" s="34">
        <f t="shared" si="0"/>
        <v>9.1950245220849547E-3</v>
      </c>
      <c r="F15" s="36">
        <f t="shared" si="1"/>
        <v>0.14596648910746399</v>
      </c>
      <c r="G15" s="43">
        <f ca="1">NORMSINV(RAND())</f>
        <v>-0.49034717879427081</v>
      </c>
      <c r="H15" s="40">
        <f t="shared" ca="1" si="2"/>
        <v>-4.5087543333484957E-3</v>
      </c>
    </row>
    <row r="16" spans="1:8" x14ac:dyDescent="0.25">
      <c r="A16" s="20">
        <v>4</v>
      </c>
      <c r="B16" s="26">
        <f>Datos!D7</f>
        <v>6.915809547172946E-3</v>
      </c>
      <c r="C16" s="29">
        <f>B16^2</f>
        <v>4.7828421692768469E-5</v>
      </c>
      <c r="D16" s="31">
        <f>$B$4+$B$5*C15+$B$6*D15</f>
        <v>8.4664903837003885E-5</v>
      </c>
      <c r="E16" s="34">
        <f t="shared" si="0"/>
        <v>9.2013533698583651E-3</v>
      </c>
      <c r="F16" s="36">
        <f t="shared" si="1"/>
        <v>0.14606695645122816</v>
      </c>
      <c r="G16" s="43">
        <f t="shared" ca="1" si="3"/>
        <v>-0.16740120883746773</v>
      </c>
      <c r="H16" s="40">
        <f t="shared" ca="1" si="2"/>
        <v>-1.5403176770549976E-3</v>
      </c>
    </row>
    <row r="17" spans="1:8" x14ac:dyDescent="0.25">
      <c r="A17" s="20">
        <v>5</v>
      </c>
      <c r="B17" s="26">
        <f>Datos!D8</f>
        <v>-1.0439993392096881E-2</v>
      </c>
      <c r="C17" s="29">
        <f>B17^2</f>
        <v>1.0899346202702653E-4</v>
      </c>
      <c r="D17" s="31">
        <f>$B$4+$B$5*C16+$B$6*D16</f>
        <v>8.8748010430730157E-5</v>
      </c>
      <c r="E17" s="34">
        <f t="shared" si="0"/>
        <v>9.4206162447437666E-3</v>
      </c>
      <c r="F17" s="36">
        <f t="shared" si="1"/>
        <v>0.1495476466834032</v>
      </c>
      <c r="G17" s="43">
        <f t="shared" ca="1" si="3"/>
        <v>2.355188307637734</v>
      </c>
      <c r="H17" s="40">
        <f t="shared" ca="1" si="2"/>
        <v>2.2187325230362615E-2</v>
      </c>
    </row>
    <row r="18" spans="1:8" x14ac:dyDescent="0.25">
      <c r="A18" s="20">
        <v>6</v>
      </c>
      <c r="B18" s="26">
        <f>Datos!D9</f>
        <v>7.622514474642573E-3</v>
      </c>
      <c r="C18" s="29">
        <f>B18^2</f>
        <v>5.8102726916135541E-5</v>
      </c>
      <c r="D18" s="31">
        <f>$B$4+$B$5*C17+$B$6*D17</f>
        <v>9.8335155068823287E-5</v>
      </c>
      <c r="E18" s="34">
        <f t="shared" si="0"/>
        <v>9.916408375456473E-3</v>
      </c>
      <c r="F18" s="36">
        <f t="shared" si="1"/>
        <v>0.1574181027624951</v>
      </c>
      <c r="G18" s="43">
        <f t="shared" ca="1" si="3"/>
        <v>1.8244487690187026</v>
      </c>
      <c r="H18" s="40">
        <f t="shared" ca="1" si="2"/>
        <v>1.8091979053688315E-2</v>
      </c>
    </row>
    <row r="19" spans="1:8" x14ac:dyDescent="0.25">
      <c r="A19" s="20">
        <v>7</v>
      </c>
      <c r="B19" s="26">
        <f>Datos!D10</f>
        <v>8.1034253287755442E-3</v>
      </c>
      <c r="C19" s="29">
        <f>B19^2</f>
        <v>6.5665502059041031E-5</v>
      </c>
      <c r="D19" s="31">
        <f>$B$4+$B$5*C18+$B$6*D18</f>
        <v>1.0139515450011333E-4</v>
      </c>
      <c r="E19" s="34">
        <f t="shared" si="0"/>
        <v>1.0069516100593579E-2</v>
      </c>
      <c r="F19" s="36">
        <f t="shared" si="1"/>
        <v>0.15984861254958879</v>
      </c>
      <c r="G19" s="43">
        <f t="shared" ca="1" si="3"/>
        <v>-1.0047122123244967</v>
      </c>
      <c r="H19" s="40">
        <f t="shared" ca="1" si="2"/>
        <v>-1.0116965798464514E-2</v>
      </c>
    </row>
    <row r="20" spans="1:8" x14ac:dyDescent="0.25">
      <c r="A20" s="20">
        <v>8</v>
      </c>
      <c r="B20" s="26">
        <f>Datos!D11</f>
        <v>-5.3800240775697698E-3</v>
      </c>
      <c r="C20" s="29">
        <f>B20^2</f>
        <v>2.8944659075230453E-5</v>
      </c>
      <c r="D20" s="31">
        <f>$B$4+$B$5*C19+$B$6*D19</f>
        <v>1.0475243153100044E-4</v>
      </c>
      <c r="E20" s="34">
        <f t="shared" si="0"/>
        <v>1.0234863532602691E-2</v>
      </c>
      <c r="F20" s="36">
        <f t="shared" si="1"/>
        <v>0.16247342165970444</v>
      </c>
      <c r="G20" s="43">
        <f t="shared" ca="1" si="3"/>
        <v>1.127963293244437</v>
      </c>
      <c r="H20" s="40">
        <f t="shared" ca="1" si="2"/>
        <v>1.1544550376141924E-2</v>
      </c>
    </row>
    <row r="21" spans="1:8" x14ac:dyDescent="0.25">
      <c r="A21" s="20">
        <v>9</v>
      </c>
      <c r="B21" s="26">
        <f>Datos!D12</f>
        <v>-4.3487978810990424E-3</v>
      </c>
      <c r="C21" s="29">
        <f>B21^2</f>
        <v>1.8912043010651519E-5</v>
      </c>
      <c r="D21" s="31">
        <f>$B$4+$B$5*C20+$B$6*D20</f>
        <v>1.0393403270887342E-4</v>
      </c>
      <c r="E21" s="34">
        <f t="shared" si="0"/>
        <v>1.0194804201595704E-2</v>
      </c>
      <c r="F21" s="36">
        <f t="shared" si="1"/>
        <v>0.16183749949451179</v>
      </c>
      <c r="G21" s="43">
        <f t="shared" ca="1" si="3"/>
        <v>-0.53376322210353611</v>
      </c>
      <c r="H21" s="40">
        <f t="shared" ca="1" si="2"/>
        <v>-5.4416115393583903E-3</v>
      </c>
    </row>
    <row r="22" spans="1:8" x14ac:dyDescent="0.25">
      <c r="A22" s="20">
        <v>10</v>
      </c>
      <c r="B22" s="26">
        <f>Datos!D13</f>
        <v>3.9824134823782868E-4</v>
      </c>
      <c r="C22" s="29">
        <f>B22^2</f>
        <v>1.5859617144628354E-7</v>
      </c>
      <c r="D22" s="31">
        <f>$B$4+$B$5*C21+$B$6*D21</f>
        <v>1.0223513210360757E-4</v>
      </c>
      <c r="E22" s="34">
        <f t="shared" si="0"/>
        <v>1.0111139011189964E-2</v>
      </c>
      <c r="F22" s="36">
        <f t="shared" si="1"/>
        <v>0.16050935577127307</v>
      </c>
      <c r="G22" s="43">
        <f t="shared" ca="1" si="3"/>
        <v>-0.29620695181790113</v>
      </c>
      <c r="H22" s="40">
        <f t="shared" ca="1" si="2"/>
        <v>-2.9949896659116461E-3</v>
      </c>
    </row>
    <row r="23" spans="1:8" x14ac:dyDescent="0.25">
      <c r="A23" s="20">
        <v>11</v>
      </c>
      <c r="B23" s="26">
        <f>Datos!D14</f>
        <v>-9.4888745108425935E-3</v>
      </c>
      <c r="C23" s="29">
        <f>B23^2</f>
        <v>9.0038739482518264E-5</v>
      </c>
      <c r="D23" s="31">
        <f>$B$4+$B$5*C22+$B$6*D22</f>
        <v>9.8915721905211049E-5</v>
      </c>
      <c r="E23" s="34">
        <f t="shared" si="0"/>
        <v>9.9456383357334616E-3</v>
      </c>
      <c r="F23" s="36">
        <f t="shared" si="1"/>
        <v>0.15788211399684635</v>
      </c>
      <c r="G23" s="43">
        <f t="shared" ca="1" si="3"/>
        <v>-0.31675449855562571</v>
      </c>
      <c r="H23" s="40">
        <f t="shared" ca="1" si="2"/>
        <v>-3.1503256838508603E-3</v>
      </c>
    </row>
    <row r="24" spans="1:8" x14ac:dyDescent="0.25">
      <c r="A24" s="20">
        <v>12</v>
      </c>
      <c r="B24" s="26">
        <f>Datos!D15</f>
        <v>7.726108548736556E-3</v>
      </c>
      <c r="C24" s="29">
        <f>B24^2</f>
        <v>5.9692753306860091E-5</v>
      </c>
      <c r="D24" s="31">
        <f>$B$4+$B$5*C23+$B$6*D23</f>
        <v>1.0508223756768121E-4</v>
      </c>
      <c r="E24" s="34">
        <f t="shared" si="0"/>
        <v>1.0250962762964326E-2</v>
      </c>
      <c r="F24" s="36">
        <f t="shared" si="1"/>
        <v>0.16272898901872299</v>
      </c>
      <c r="G24" s="43">
        <f t="shared" ca="1" si="3"/>
        <v>1.2696622516813549</v>
      </c>
      <c r="H24" s="40">
        <f t="shared" ca="1" si="2"/>
        <v>1.3015260463527009E-2</v>
      </c>
    </row>
    <row r="25" spans="1:8" x14ac:dyDescent="0.25">
      <c r="A25" s="20">
        <v>13</v>
      </c>
      <c r="B25" s="26">
        <f>Datos!D16</f>
        <v>-5.6627020540441766E-3</v>
      </c>
      <c r="C25" s="29">
        <f>B25^2</f>
        <v>3.2066194552876136E-5</v>
      </c>
      <c r="D25" s="31">
        <f>$B$4+$B$5*C24+$B$6*D24</f>
        <v>1.0728917726321503E-4</v>
      </c>
      <c r="E25" s="34">
        <f t="shared" si="0"/>
        <v>1.0358048911991826E-2</v>
      </c>
      <c r="F25" s="36">
        <f t="shared" si="1"/>
        <v>0.16442892893384117</v>
      </c>
      <c r="G25" s="43">
        <f t="shared" ca="1" si="3"/>
        <v>-0.29065667479537799</v>
      </c>
      <c r="H25" s="40">
        <f t="shared" ca="1" si="2"/>
        <v>-3.0106360541274271E-3</v>
      </c>
    </row>
    <row r="26" spans="1:8" x14ac:dyDescent="0.25">
      <c r="A26" s="20">
        <v>14</v>
      </c>
      <c r="B26" s="26">
        <f>Datos!D17</f>
        <v>-1.3365729048958096E-2</v>
      </c>
      <c r="C26" s="29">
        <f>B26^2</f>
        <v>1.7864271301016229E-4</v>
      </c>
      <c r="D26" s="31">
        <f>$B$4+$B$5*C25+$B$6*D25</f>
        <v>1.064024201290204E-4</v>
      </c>
      <c r="E26" s="34">
        <f t="shared" si="0"/>
        <v>1.0315154876637598E-2</v>
      </c>
      <c r="F26" s="36">
        <f t="shared" si="1"/>
        <v>0.16374800723218938</v>
      </c>
      <c r="G26" s="43">
        <f t="shared" ca="1" si="3"/>
        <v>0.22420868013821157</v>
      </c>
      <c r="H26" s="40">
        <f t="shared" ca="1" si="2"/>
        <v>2.3127472603121525E-3</v>
      </c>
    </row>
    <row r="27" spans="1:8" x14ac:dyDescent="0.25">
      <c r="A27" s="20">
        <v>15</v>
      </c>
      <c r="B27" s="26">
        <f>Datos!D18</f>
        <v>8.2698400759430267E-3</v>
      </c>
      <c r="C27" s="29">
        <f>B27^2</f>
        <v>6.8390254881673372E-5</v>
      </c>
      <c r="D27" s="31">
        <f>$B$4+$B$5*C26+$B$6*D26</f>
        <v>1.2030632841068356E-4</v>
      </c>
      <c r="E27" s="34">
        <f t="shared" si="0"/>
        <v>1.0968424153481829E-2</v>
      </c>
      <c r="F27" s="36">
        <f t="shared" si="1"/>
        <v>0.17411833550632244</v>
      </c>
      <c r="G27" s="43">
        <f t="shared" ca="1" si="3"/>
        <v>-1.6278013832955678</v>
      </c>
      <c r="H27" s="40">
        <f t="shared" ca="1" si="2"/>
        <v>-1.7854416009610238E-2</v>
      </c>
    </row>
    <row r="28" spans="1:8" x14ac:dyDescent="0.25">
      <c r="A28" s="20">
        <v>16</v>
      </c>
      <c r="B28" s="26">
        <f>Datos!D19</f>
        <v>-2.1373651385526316E-3</v>
      </c>
      <c r="C28" s="29">
        <f>B28^2</f>
        <v>4.5683297355001102E-6</v>
      </c>
      <c r="D28" s="31">
        <f>$B$4+$B$5*C27+$B$6*D27</f>
        <v>1.2109940463724836E-4</v>
      </c>
      <c r="E28" s="34">
        <f t="shared" si="0"/>
        <v>1.100451746498902E-2</v>
      </c>
      <c r="F28" s="36">
        <f t="shared" si="1"/>
        <v>0.17469129906376732</v>
      </c>
      <c r="G28" s="43">
        <f t="shared" ca="1" si="3"/>
        <v>-1.1041044006083718</v>
      </c>
      <c r="H28" s="40">
        <f t="shared" ca="1" si="2"/>
        <v>-1.2150136159666061E-2</v>
      </c>
    </row>
    <row r="29" spans="1:8" x14ac:dyDescent="0.25">
      <c r="A29" s="20">
        <v>17</v>
      </c>
      <c r="B29" s="26">
        <f>Datos!D20</f>
        <v>-8.3792624071145133E-4</v>
      </c>
      <c r="C29" s="29">
        <f>B29^2</f>
        <v>7.0212038487282505E-7</v>
      </c>
      <c r="D29" s="31">
        <f>$B$4+$B$5*C28+$B$6*D28</f>
        <v>1.1539132691521112E-4</v>
      </c>
      <c r="E29" s="34">
        <f t="shared" si="0"/>
        <v>1.0742035510796411E-2</v>
      </c>
      <c r="F29" s="36">
        <f t="shared" si="1"/>
        <v>0.17052452721715197</v>
      </c>
      <c r="G29" s="43">
        <f t="shared" ca="1" si="3"/>
        <v>0.65414738013040341</v>
      </c>
      <c r="H29" s="40">
        <f t="shared" ca="1" si="2"/>
        <v>7.0268743866552319E-3</v>
      </c>
    </row>
    <row r="30" spans="1:8" x14ac:dyDescent="0.25">
      <c r="A30" s="20">
        <v>18</v>
      </c>
      <c r="B30" s="26">
        <f>Datos!D21</f>
        <v>-1.534485457694618E-2</v>
      </c>
      <c r="C30" s="29">
        <f>B30^2</f>
        <v>2.3546456198762612E-4</v>
      </c>
      <c r="D30" s="31">
        <f>$B$4+$B$5*C29+$B$6*D29</f>
        <v>1.1015283991641673E-4</v>
      </c>
      <c r="E30" s="34">
        <f t="shared" si="0"/>
        <v>1.0495372309566571E-2</v>
      </c>
      <c r="F30" s="36">
        <f t="shared" si="1"/>
        <v>0.16660887028888055</v>
      </c>
      <c r="G30" s="43">
        <f t="shared" ca="1" si="3"/>
        <v>-0.88575176304280689</v>
      </c>
      <c r="H30" s="40">
        <f t="shared" ca="1" si="2"/>
        <v>-9.2962945269892475E-3</v>
      </c>
    </row>
    <row r="31" spans="1:8" x14ac:dyDescent="0.25">
      <c r="A31" s="20">
        <v>19</v>
      </c>
      <c r="B31" s="26">
        <f>Datos!D22</f>
        <v>-6.0775200013083444E-3</v>
      </c>
      <c r="C31" s="29">
        <f>B31^2</f>
        <v>3.6936249366302977E-5</v>
      </c>
      <c r="D31" s="31">
        <f>$B$4+$B$5*C30+$B$6*D30</f>
        <v>1.2917637012771683E-4</v>
      </c>
      <c r="E31" s="34">
        <f t="shared" si="0"/>
        <v>1.1365578301508323E-2</v>
      </c>
      <c r="F31" s="36">
        <f t="shared" si="1"/>
        <v>0.18042296215333745</v>
      </c>
      <c r="G31" s="43">
        <f t="shared" ca="1" si="3"/>
        <v>1.9520492023744191</v>
      </c>
      <c r="H31" s="40">
        <f t="shared" ca="1" si="2"/>
        <v>2.2186168057983326E-2</v>
      </c>
    </row>
    <row r="32" spans="1:8" x14ac:dyDescent="0.25">
      <c r="A32" s="20">
        <v>20</v>
      </c>
      <c r="B32" s="26">
        <f>Datos!D23</f>
        <v>1.0079918404358078E-2</v>
      </c>
      <c r="C32" s="29">
        <f>B32^2</f>
        <v>1.0160475503851671E-4</v>
      </c>
      <c r="D32" s="31">
        <f>$B$4+$B$5*C31+$B$6*D31</f>
        <v>1.254935395451896E-4</v>
      </c>
      <c r="E32" s="34">
        <f t="shared" si="0"/>
        <v>1.1202389903283566E-2</v>
      </c>
      <c r="F32" s="36">
        <f t="shared" si="1"/>
        <v>0.17783242664201537</v>
      </c>
      <c r="G32" s="43">
        <f t="shared" ca="1" si="3"/>
        <v>-1.1596221661657256</v>
      </c>
      <c r="H32" s="40">
        <f t="shared" ca="1" si="2"/>
        <v>-1.2990539645878742E-2</v>
      </c>
    </row>
    <row r="33" spans="1:8" x14ac:dyDescent="0.25">
      <c r="A33" s="20">
        <v>21</v>
      </c>
      <c r="B33" s="26">
        <f>Datos!D24</f>
        <v>2.4911551576874799E-3</v>
      </c>
      <c r="C33" s="29">
        <f>B33^2</f>
        <v>6.2058540196729333E-6</v>
      </c>
      <c r="D33" s="31">
        <f>$B$4+$B$5*C32+$B$6*D32</f>
        <v>1.2882998411726284E-4</v>
      </c>
      <c r="E33" s="34">
        <f t="shared" si="0"/>
        <v>1.1350329692007314E-2</v>
      </c>
      <c r="F33" s="36">
        <f t="shared" si="1"/>
        <v>0.18018089798186221</v>
      </c>
      <c r="G33" s="43">
        <f t="shared" ca="1" si="3"/>
        <v>-1.0879598380349671</v>
      </c>
      <c r="H33" s="40">
        <f t="shared" ca="1" si="2"/>
        <v>-1.2348702853359756E-2</v>
      </c>
    </row>
    <row r="34" spans="1:8" x14ac:dyDescent="0.25">
      <c r="A34" s="20">
        <v>22</v>
      </c>
      <c r="B34" s="26">
        <f>Datos!D25</f>
        <v>-1.370105213122259E-2</v>
      </c>
      <c r="C34" s="29">
        <f>B34^2</f>
        <v>1.8771882950247907E-4</v>
      </c>
      <c r="D34" s="31">
        <f>$B$4+$B$5*C33+$B$6*D33</f>
        <v>1.2212607190164069E-4</v>
      </c>
      <c r="E34" s="34">
        <f t="shared" si="0"/>
        <v>1.1051066550412257E-2</v>
      </c>
      <c r="F34" s="36">
        <f t="shared" si="1"/>
        <v>0.17543024288649164</v>
      </c>
      <c r="G34" s="43">
        <f t="shared" ca="1" si="3"/>
        <v>-1.1477375165052701</v>
      </c>
      <c r="H34" s="40">
        <f t="shared" ca="1" si="2"/>
        <v>-1.2683723677304626E-2</v>
      </c>
    </row>
    <row r="35" spans="1:8" x14ac:dyDescent="0.25">
      <c r="A35" s="20">
        <v>23</v>
      </c>
      <c r="B35" s="26">
        <f>Datos!D26</f>
        <v>-2.7525886179107706E-3</v>
      </c>
      <c r="C35" s="29">
        <f>B35^2</f>
        <v>7.5767440994519258E-6</v>
      </c>
      <c r="D35" s="31">
        <f>$B$4+$B$5*C34+$B$6*D34</f>
        <v>1.3457904406664249E-4</v>
      </c>
      <c r="E35" s="34">
        <f t="shared" si="0"/>
        <v>1.1600820835899608E-2</v>
      </c>
      <c r="F35" s="36">
        <f t="shared" si="1"/>
        <v>0.18415732161604084</v>
      </c>
      <c r="G35" s="43">
        <f t="shared" ca="1" si="3"/>
        <v>-0.19466490047072879</v>
      </c>
      <c r="H35" s="40">
        <f t="shared" ca="1" si="2"/>
        <v>-2.2582726333991538E-3</v>
      </c>
    </row>
    <row r="36" spans="1:8" x14ac:dyDescent="0.25">
      <c r="A36" s="20">
        <v>24</v>
      </c>
      <c r="B36" s="26">
        <f>Datos!D27</f>
        <v>-1.5253895829477377E-2</v>
      </c>
      <c r="C36" s="29">
        <f>B36^2</f>
        <v>2.3268133797654732E-4</v>
      </c>
      <c r="D36" s="31">
        <f>$B$4+$B$5*C35+$B$6*D35</f>
        <v>1.2714986186659129E-4</v>
      </c>
      <c r="E36" s="34">
        <f t="shared" si="0"/>
        <v>1.127607475438999E-2</v>
      </c>
      <c r="F36" s="36">
        <f t="shared" si="1"/>
        <v>0.17900213739053789</v>
      </c>
      <c r="G36" s="43">
        <f t="shared" ca="1" si="3"/>
        <v>-0.19739233769789608</v>
      </c>
      <c r="H36" s="40">
        <f t="shared" ca="1" si="2"/>
        <v>-2.2258107558252695E-3</v>
      </c>
    </row>
    <row r="37" spans="1:8" x14ac:dyDescent="0.25">
      <c r="A37" s="20">
        <v>25</v>
      </c>
      <c r="B37" s="26">
        <f>Datos!D28</f>
        <v>1.1388106093259189E-2</v>
      </c>
      <c r="C37" s="29">
        <f>B37^2</f>
        <v>1.2968896039132708E-4</v>
      </c>
      <c r="D37" s="31">
        <f>$B$4+$B$5*C36+$B$6*D36</f>
        <v>1.4334551638425731E-4</v>
      </c>
      <c r="E37" s="34">
        <f t="shared" si="0"/>
        <v>1.1972698792847722E-2</v>
      </c>
      <c r="F37" s="36">
        <f t="shared" si="1"/>
        <v>0.19006070116894982</v>
      </c>
      <c r="G37" s="43">
        <f t="shared" ca="1" si="3"/>
        <v>0.96776524806891906</v>
      </c>
      <c r="H37" s="40">
        <f t="shared" ca="1" si="2"/>
        <v>1.1586761817314724E-2</v>
      </c>
    </row>
    <row r="38" spans="1:8" x14ac:dyDescent="0.25">
      <c r="A38" s="20">
        <v>26</v>
      </c>
      <c r="B38" s="26">
        <f>Datos!D29</f>
        <v>-3.7496133331591376E-3</v>
      </c>
      <c r="C38" s="29">
        <f>B38^2</f>
        <v>1.4059600148204777E-5</v>
      </c>
      <c r="D38" s="31">
        <f>$B$4+$B$5*C37+$B$6*D37</f>
        <v>1.4681258496575142E-4</v>
      </c>
      <c r="E38" s="34">
        <f t="shared" si="0"/>
        <v>1.2116624322217448E-2</v>
      </c>
      <c r="F38" s="36">
        <f t="shared" si="1"/>
        <v>0.19234544811710352</v>
      </c>
      <c r="G38" s="43">
        <f t="shared" ca="1" si="3"/>
        <v>2.1053209170802341E-2</v>
      </c>
      <c r="H38" s="40">
        <f t="shared" ca="1" si="2"/>
        <v>2.5509382629967508E-4</v>
      </c>
    </row>
    <row r="39" spans="1:8" x14ac:dyDescent="0.25">
      <c r="A39" s="20">
        <v>27</v>
      </c>
      <c r="B39" s="26">
        <f>Datos!D30</f>
        <v>5.4045264483707691E-3</v>
      </c>
      <c r="C39" s="29">
        <f>B39^2</f>
        <v>2.9208906131139159E-5</v>
      </c>
      <c r="D39" s="31">
        <f>$B$4+$B$5*C38+$B$6*D38</f>
        <v>1.3819665723570918E-4</v>
      </c>
      <c r="E39" s="34">
        <f t="shared" si="0"/>
        <v>1.1755707432379778E-2</v>
      </c>
      <c r="F39" s="36">
        <f t="shared" si="1"/>
        <v>0.18661607011026332</v>
      </c>
      <c r="G39" s="43">
        <f t="shared" ca="1" si="3"/>
        <v>0.59138995764525859</v>
      </c>
      <c r="H39" s="40">
        <f t="shared" ca="1" si="2"/>
        <v>6.9522073205251292E-3</v>
      </c>
    </row>
    <row r="40" spans="1:8" x14ac:dyDescent="0.25">
      <c r="A40" s="20">
        <v>28</v>
      </c>
      <c r="B40" s="26">
        <f>Datos!D31</f>
        <v>-1.7559479899019164E-2</v>
      </c>
      <c r="C40" s="29">
        <f>B40^2</f>
        <v>3.083353343240581E-4</v>
      </c>
      <c r="D40" s="31">
        <f>$B$4+$B$5*C39+$B$6*D39</f>
        <v>1.3238804926346673E-4</v>
      </c>
      <c r="E40" s="34">
        <f t="shared" si="0"/>
        <v>1.1506000576371736E-2</v>
      </c>
      <c r="F40" s="36">
        <f t="shared" si="1"/>
        <v>0.18265209666027274</v>
      </c>
      <c r="G40" s="43">
        <f t="shared" ca="1" si="3"/>
        <v>0.85899951323990242</v>
      </c>
      <c r="H40" s="40">
        <f t="shared" ca="1" si="2"/>
        <v>9.8836488944413579E-3</v>
      </c>
    </row>
    <row r="41" spans="1:8" x14ac:dyDescent="0.25">
      <c r="A41" s="20">
        <v>29</v>
      </c>
      <c r="B41" s="26">
        <f>Datos!D32</f>
        <v>-1.6863223156244337E-2</v>
      </c>
      <c r="C41" s="29">
        <f>B41^2</f>
        <v>2.8436829521729523E-4</v>
      </c>
      <c r="D41" s="31">
        <f>$B$4+$B$5*C40+$B$6*D40</f>
        <v>1.5536337530635253E-4</v>
      </c>
      <c r="E41" s="34">
        <f t="shared" si="0"/>
        <v>1.2464484558390393E-2</v>
      </c>
      <c r="F41" s="36">
        <f t="shared" si="1"/>
        <v>0.19786755817263435</v>
      </c>
      <c r="G41" s="43">
        <f t="shared" ca="1" si="3"/>
        <v>-0.30842212276228886</v>
      </c>
      <c r="H41" s="40">
        <f t="shared" ca="1" si="2"/>
        <v>-3.8443227866365357E-3</v>
      </c>
    </row>
    <row r="42" spans="1:8" x14ac:dyDescent="0.25">
      <c r="A42" s="20">
        <v>30</v>
      </c>
      <c r="B42" s="26">
        <f>Datos!D33</f>
        <v>-3.9535723670909078E-3</v>
      </c>
      <c r="C42" s="29">
        <f>B42^2</f>
        <v>1.5630734461824805E-5</v>
      </c>
      <c r="D42" s="31">
        <f>$B$4+$B$5*C41+$B$6*D41</f>
        <v>1.7249569853212916E-4</v>
      </c>
      <c r="E42" s="34">
        <f t="shared" si="0"/>
        <v>1.3133761781459611E-2</v>
      </c>
      <c r="F42" s="36">
        <f t="shared" si="1"/>
        <v>0.20849200471504067</v>
      </c>
      <c r="G42" s="43">
        <f t="shared" ca="1" si="3"/>
        <v>7.7337549369241143E-2</v>
      </c>
      <c r="H42" s="40">
        <f t="shared" ca="1" si="2"/>
        <v>1.0157329501774852E-3</v>
      </c>
    </row>
    <row r="43" spans="1:8" x14ac:dyDescent="0.25">
      <c r="A43" s="20">
        <v>31</v>
      </c>
      <c r="B43" s="26">
        <f>Datos!D34</f>
        <v>2.8714924185272283E-2</v>
      </c>
      <c r="C43" s="29">
        <f>B43^2</f>
        <v>8.2454687096593512E-4</v>
      </c>
      <c r="D43" s="31">
        <f>$B$4+$B$5*C42+$B$6*D42</f>
        <v>1.6018441719849226E-4</v>
      </c>
      <c r="E43" s="34">
        <f t="shared" si="0"/>
        <v>1.2656398271170684E-2</v>
      </c>
      <c r="F43" s="36">
        <f t="shared" si="1"/>
        <v>0.20091409391583273</v>
      </c>
      <c r="G43" s="43">
        <f t="shared" ca="1" si="3"/>
        <v>-0.77556392382312822</v>
      </c>
      <c r="H43" s="40">
        <f t="shared" ca="1" si="2"/>
        <v>-9.8158459046573925E-3</v>
      </c>
    </row>
    <row r="44" spans="1:8" x14ac:dyDescent="0.25">
      <c r="A44" s="20">
        <v>32</v>
      </c>
      <c r="B44" s="26">
        <f>Datos!D35</f>
        <v>7.1429747289302155E-3</v>
      </c>
      <c r="C44" s="29">
        <f>B44^2</f>
        <v>5.1022087978135689E-5</v>
      </c>
      <c r="D44" s="31">
        <f>$B$4+$B$5*C43+$B$6*D43</f>
        <v>2.3061144171531193E-4</v>
      </c>
      <c r="E44" s="34">
        <f t="shared" si="0"/>
        <v>1.5185896144624194E-2</v>
      </c>
      <c r="F44" s="36">
        <f t="shared" si="1"/>
        <v>0.24106862780598104</v>
      </c>
      <c r="G44" s="43">
        <f t="shared" ca="1" si="3"/>
        <v>0.46830805855640006</v>
      </c>
      <c r="H44" s="40">
        <f t="shared" ca="1" si="2"/>
        <v>7.1116775409280769E-3</v>
      </c>
    </row>
    <row r="45" spans="1:8" x14ac:dyDescent="0.25">
      <c r="A45" s="20">
        <v>33</v>
      </c>
      <c r="B45" s="26">
        <f>Datos!D36</f>
        <v>1.1202303039330127E-3</v>
      </c>
      <c r="C45" s="29">
        <f>B45^2</f>
        <v>1.2549159338498501E-6</v>
      </c>
      <c r="D45" s="31">
        <f>$B$4+$B$5*C44+$B$6*D44</f>
        <v>2.1312193425582871E-4</v>
      </c>
      <c r="E45" s="34">
        <f t="shared" ref="E45:E76" si="4">SQRT(D45)</f>
        <v>1.4598696320419461E-2</v>
      </c>
      <c r="F45" s="36">
        <f t="shared" ref="F45:F76" si="5">E45*SQRT(252)</f>
        <v>0.23174711957750163</v>
      </c>
      <c r="G45" s="43">
        <f t="shared" ref="G45:G76" ca="1" si="6">NORMSINV(RAND())</f>
        <v>0.19585972473620755</v>
      </c>
      <c r="H45" s="40">
        <f t="shared" ref="H45:H76" ca="1" si="7">E45*G45</f>
        <v>2.8592966428248419E-3</v>
      </c>
    </row>
    <row r="46" spans="1:8" x14ac:dyDescent="0.25">
      <c r="A46" s="20">
        <v>34</v>
      </c>
      <c r="B46" s="26">
        <f>Datos!D37</f>
        <v>4.4169924144776057E-3</v>
      </c>
      <c r="C46" s="29">
        <f>B46^2</f>
        <v>1.950982198955271E-5</v>
      </c>
      <c r="D46" s="31">
        <f>$B$4+$B$5*C45+$B$6*D45</f>
        <v>1.9327913571083938E-4</v>
      </c>
      <c r="E46" s="34">
        <f t="shared" si="4"/>
        <v>1.3902486673643653E-2</v>
      </c>
      <c r="F46" s="36">
        <f t="shared" si="5"/>
        <v>0.22069513406310418</v>
      </c>
      <c r="G46" s="43">
        <f t="shared" ca="1" si="6"/>
        <v>-1.9229607054354492</v>
      </c>
      <c r="H46" s="40">
        <f t="shared" ca="1" si="7"/>
        <v>-2.6733935581256731E-2</v>
      </c>
    </row>
    <row r="47" spans="1:8" x14ac:dyDescent="0.25">
      <c r="A47" s="20">
        <v>35</v>
      </c>
      <c r="B47" s="26">
        <f>Datos!D38</f>
        <v>7.5895709034712322E-4</v>
      </c>
      <c r="C47" s="29">
        <f>B47^2</f>
        <v>5.7601586498817132E-7</v>
      </c>
      <c r="D47" s="31">
        <f>$B$4+$B$5*C46+$B$6*D46</f>
        <v>1.7823824755316874E-4</v>
      </c>
      <c r="E47" s="34">
        <f t="shared" si="4"/>
        <v>1.3350589782970965E-2</v>
      </c>
      <c r="F47" s="36">
        <f t="shared" si="5"/>
        <v>0.21193404253068576</v>
      </c>
      <c r="G47" s="43">
        <f t="shared" ca="1" si="6"/>
        <v>-1.3562133445675679</v>
      </c>
      <c r="H47" s="40">
        <f t="shared" ca="1" si="7"/>
        <v>-1.8106248021512655E-2</v>
      </c>
    </row>
    <row r="48" spans="1:8" x14ac:dyDescent="0.25">
      <c r="A48" s="20">
        <v>36</v>
      </c>
      <c r="B48" s="26">
        <f>Datos!D39</f>
        <v>2.4772044477339827E-2</v>
      </c>
      <c r="C48" s="29">
        <f>B48^2</f>
        <v>6.1365418758730261E-4</v>
      </c>
      <c r="D48" s="31">
        <f>$B$4+$B$5*C47+$B$6*D47</f>
        <v>1.6356011200669224E-4</v>
      </c>
      <c r="E48" s="34">
        <f t="shared" si="4"/>
        <v>1.2789062202002625E-2</v>
      </c>
      <c r="F48" s="36">
        <f t="shared" si="5"/>
        <v>0.20302006852941029</v>
      </c>
      <c r="G48" s="43">
        <f t="shared" ca="1" si="6"/>
        <v>-0.68576785218512915</v>
      </c>
      <c r="H48" s="40">
        <f t="shared" ca="1" si="7"/>
        <v>-8.7703277177293582E-3</v>
      </c>
    </row>
    <row r="49" spans="1:8" x14ac:dyDescent="0.25">
      <c r="A49" s="20">
        <v>37</v>
      </c>
      <c r="B49" s="26">
        <f>Datos!D40</f>
        <v>6.151052613166395E-3</v>
      </c>
      <c r="C49" s="29">
        <f>B49^2</f>
        <v>3.7835448249941139E-5</v>
      </c>
      <c r="D49" s="31">
        <f>$B$4+$B$5*C48+$B$6*D48</f>
        <v>2.1239151396441867E-4</v>
      </c>
      <c r="E49" s="34">
        <f t="shared" si="4"/>
        <v>1.457365822175128E-2</v>
      </c>
      <c r="F49" s="36">
        <f t="shared" si="5"/>
        <v>0.23134965208323421</v>
      </c>
      <c r="G49" s="43">
        <f t="shared" ca="1" si="6"/>
        <v>-1.5272425146881647</v>
      </c>
      <c r="H49" s="40">
        <f t="shared" ca="1" si="7"/>
        <v>-2.2257510430793274E-2</v>
      </c>
    </row>
    <row r="50" spans="1:8" x14ac:dyDescent="0.25">
      <c r="A50" s="20">
        <v>38</v>
      </c>
      <c r="B50" s="26">
        <f>Datos!D41</f>
        <v>-1.1391668601091422E-3</v>
      </c>
      <c r="C50" s="29">
        <f>B50^2</f>
        <v>1.2977011351709218E-6</v>
      </c>
      <c r="D50" s="31">
        <f>$B$4+$B$5*C49+$B$6*D49</f>
        <v>1.9631633169474999E-4</v>
      </c>
      <c r="E50" s="34">
        <f t="shared" si="4"/>
        <v>1.4011293005813203E-2</v>
      </c>
      <c r="F50" s="36">
        <f t="shared" si="5"/>
        <v>0.22242238103904247</v>
      </c>
      <c r="G50" s="43">
        <f t="shared" ca="1" si="6"/>
        <v>1.6819902282071939</v>
      </c>
      <c r="H50" s="40">
        <f t="shared" ca="1" si="7"/>
        <v>2.3566857920325611E-2</v>
      </c>
    </row>
    <row r="51" spans="1:8" x14ac:dyDescent="0.25">
      <c r="A51" s="20">
        <v>39</v>
      </c>
      <c r="B51" s="26">
        <f>Datos!D42</f>
        <v>1.0121861514360059E-2</v>
      </c>
      <c r="C51" s="29">
        <f>B51^2</f>
        <v>1.0245208051588331E-4</v>
      </c>
      <c r="D51" s="31">
        <f>$B$4+$B$5*C50+$B$6*D50</f>
        <v>1.7899865205405456E-4</v>
      </c>
      <c r="E51" s="34">
        <f t="shared" si="4"/>
        <v>1.3379037785059677E-2</v>
      </c>
      <c r="F51" s="36">
        <f t="shared" si="5"/>
        <v>0.21238564056362602</v>
      </c>
      <c r="G51" s="43">
        <f t="shared" ca="1" si="6"/>
        <v>1.127696464793108</v>
      </c>
      <c r="H51" s="40">
        <f t="shared" ca="1" si="7"/>
        <v>1.5087493612545211E-2</v>
      </c>
    </row>
    <row r="52" spans="1:8" x14ac:dyDescent="0.25">
      <c r="A52" s="20">
        <v>40</v>
      </c>
      <c r="B52" s="26">
        <f>Datos!D43</f>
        <v>1.1714039770857793E-2</v>
      </c>
      <c r="C52" s="29">
        <f>B52^2</f>
        <v>1.3721872775323811E-4</v>
      </c>
      <c r="D52" s="31">
        <f>$B$4+$B$5*C51+$B$6*D51</f>
        <v>1.743940622975347E-4</v>
      </c>
      <c r="E52" s="34">
        <f t="shared" si="4"/>
        <v>1.3205834403684407E-2</v>
      </c>
      <c r="F52" s="36">
        <f t="shared" si="5"/>
        <v>0.20963612212349939</v>
      </c>
      <c r="G52" s="43">
        <f t="shared" ca="1" si="6"/>
        <v>0.78043662525285473</v>
      </c>
      <c r="H52" s="40">
        <f t="shared" ca="1" si="7"/>
        <v>1.0306316835659503E-2</v>
      </c>
    </row>
    <row r="53" spans="1:8" x14ac:dyDescent="0.25">
      <c r="A53" s="20">
        <v>41</v>
      </c>
      <c r="B53" s="26">
        <f>Datos!D44</f>
        <v>7.9441002815085933E-3</v>
      </c>
      <c r="C53" s="29">
        <f>B53^2</f>
        <v>6.3108729282664917E-5</v>
      </c>
      <c r="D53" s="31">
        <f>$B$4+$B$5*C52+$B$6*D52</f>
        <v>1.7395682572822829E-4</v>
      </c>
      <c r="E53" s="34">
        <f t="shared" si="4"/>
        <v>1.3189269340195774E-2</v>
      </c>
      <c r="F53" s="36">
        <f t="shared" si="5"/>
        <v>0.20937315989284189</v>
      </c>
      <c r="G53" s="43">
        <f t="shared" ca="1" si="6"/>
        <v>-0.56812937253600149</v>
      </c>
      <c r="H53" s="40">
        <f t="shared" ca="1" si="7"/>
        <v>-7.4932113144537474E-3</v>
      </c>
    </row>
    <row r="54" spans="1:8" x14ac:dyDescent="0.25">
      <c r="A54" s="20">
        <v>42</v>
      </c>
      <c r="B54" s="26">
        <f>Datos!D45</f>
        <v>2.6066141379231045E-3</v>
      </c>
      <c r="C54" s="29">
        <f>B54^2</f>
        <v>6.7944372640206094E-6</v>
      </c>
      <c r="D54" s="31">
        <f>$B$4+$B$5*C53+$B$6*D53</f>
        <v>1.6617417479726054E-4</v>
      </c>
      <c r="E54" s="34">
        <f t="shared" si="4"/>
        <v>1.2890856247637724E-2</v>
      </c>
      <c r="F54" s="36">
        <f t="shared" si="5"/>
        <v>0.20463599890759607</v>
      </c>
      <c r="G54" s="43">
        <f t="shared" ca="1" si="6"/>
        <v>1.1180255514156301</v>
      </c>
      <c r="H54" s="40">
        <f t="shared" ca="1" si="7"/>
        <v>1.4412306664484786E-2</v>
      </c>
    </row>
    <row r="55" spans="1:8" x14ac:dyDescent="0.25">
      <c r="A55" s="20">
        <v>43</v>
      </c>
      <c r="B55" s="26">
        <f>Datos!D46</f>
        <v>1.1968515194245957E-2</v>
      </c>
      <c r="C55" s="29">
        <f>B55^2</f>
        <v>1.4324535595489632E-4</v>
      </c>
      <c r="D55" s="31">
        <f>$B$4+$B$5*C54+$B$6*D54</f>
        <v>1.5392749230407353E-4</v>
      </c>
      <c r="E55" s="34">
        <f t="shared" si="4"/>
        <v>1.2406751883715315E-2</v>
      </c>
      <c r="F55" s="36">
        <f t="shared" si="5"/>
        <v>0.19695108037435724</v>
      </c>
      <c r="G55" s="43">
        <f t="shared" ca="1" si="6"/>
        <v>-0.6171728149553577</v>
      </c>
      <c r="H55" s="40">
        <f t="shared" ca="1" si="7"/>
        <v>-7.6571099845252674E-3</v>
      </c>
    </row>
    <row r="56" spans="1:8" x14ac:dyDescent="0.25">
      <c r="A56" s="20">
        <v>44</v>
      </c>
      <c r="B56" s="26">
        <f>Datos!D47</f>
        <v>-2.3772069191958763E-3</v>
      </c>
      <c r="C56" s="29">
        <f>B56^2</f>
        <v>5.6511127366727496E-6</v>
      </c>
      <c r="D56" s="31">
        <f>$B$4+$B$5*C55+$B$6*D55</f>
        <v>1.5716290405395214E-4</v>
      </c>
      <c r="E56" s="34">
        <f t="shared" si="4"/>
        <v>1.253646298020108E-2</v>
      </c>
      <c r="F56" s="36">
        <f t="shared" si="5"/>
        <v>0.19901018019587829</v>
      </c>
      <c r="G56" s="43">
        <f t="shared" ca="1" si="6"/>
        <v>-0.15261529780850794</v>
      </c>
      <c r="H56" s="40">
        <f t="shared" ca="1" si="7"/>
        <v>-1.9132560311887227E-3</v>
      </c>
    </row>
    <row r="57" spans="1:8" x14ac:dyDescent="0.25">
      <c r="A57" s="20">
        <v>45</v>
      </c>
      <c r="B57" s="26">
        <f>Datos!D48</f>
        <v>-6.3684011707009656E-3</v>
      </c>
      <c r="C57" s="29">
        <f>B57^2</f>
        <v>4.0556533470985427E-5</v>
      </c>
      <c r="D57" s="31">
        <f>$B$4+$B$5*C56+$B$6*D56</f>
        <v>1.4615357971952661E-4</v>
      </c>
      <c r="E57" s="34">
        <f t="shared" si="4"/>
        <v>1.2089399477208395E-2</v>
      </c>
      <c r="F57" s="36">
        <f t="shared" si="5"/>
        <v>0.19191326710084614</v>
      </c>
      <c r="G57" s="43">
        <f t="shared" ca="1" si="6"/>
        <v>-0.64367513360816486</v>
      </c>
      <c r="H57" s="40">
        <f t="shared" ca="1" si="7"/>
        <v>-7.7816458237345921E-3</v>
      </c>
    </row>
    <row r="58" spans="1:8" x14ac:dyDescent="0.25">
      <c r="A58" s="20">
        <v>46</v>
      </c>
      <c r="B58" s="26">
        <f>Datos!D49</f>
        <v>1.0405736514160159E-2</v>
      </c>
      <c r="C58" s="29">
        <f>B58^2</f>
        <v>1.0827935240212602E-4</v>
      </c>
      <c r="D58" s="31">
        <f>$B$4+$B$5*C57+$B$6*D57</f>
        <v>1.4028619610869617E-4</v>
      </c>
      <c r="E58" s="34">
        <f t="shared" si="4"/>
        <v>1.1844247384646107E-2</v>
      </c>
      <c r="F58" s="36">
        <f t="shared" si="5"/>
        <v>0.18802159827900472</v>
      </c>
      <c r="G58" s="43">
        <f t="shared" ca="1" si="6"/>
        <v>-0.76306165994030961</v>
      </c>
      <c r="H58" s="40">
        <f t="shared" ca="1" si="7"/>
        <v>-9.037891070071729E-3</v>
      </c>
    </row>
    <row r="59" spans="1:8" x14ac:dyDescent="0.25">
      <c r="A59" s="20">
        <v>47</v>
      </c>
      <c r="B59" s="26">
        <f>Datos!D50</f>
        <v>-4.1414321141621281E-3</v>
      </c>
      <c r="C59" s="29">
        <f>B59^2</f>
        <v>1.7151459956213395E-5</v>
      </c>
      <c r="D59" s="31">
        <f>$B$4+$B$5*C58+$B$6*D58</f>
        <v>1.4207120193260433E-4</v>
      </c>
      <c r="E59" s="34">
        <f t="shared" si="4"/>
        <v>1.1919362480124696E-2</v>
      </c>
      <c r="F59" s="36">
        <f t="shared" si="5"/>
        <v>0.18921401345306404</v>
      </c>
      <c r="G59" s="43">
        <f t="shared" ca="1" si="6"/>
        <v>0.46304372413429573</v>
      </c>
      <c r="H59" s="40">
        <f t="shared" ca="1" si="7"/>
        <v>5.519185992103535E-3</v>
      </c>
    </row>
    <row r="60" spans="1:8" x14ac:dyDescent="0.25">
      <c r="A60" s="20">
        <v>48</v>
      </c>
      <c r="B60" s="26">
        <f>Datos!D51</f>
        <v>7.942043275907907E-3</v>
      </c>
      <c r="C60" s="29">
        <f>B60^2</f>
        <v>6.3076051396393994E-5</v>
      </c>
      <c r="D60" s="31">
        <f>$B$4+$B$5*C59+$B$6*D59</f>
        <v>1.3447566763833503E-4</v>
      </c>
      <c r="E60" s="34">
        <f t="shared" si="4"/>
        <v>1.1596364414692004E-2</v>
      </c>
      <c r="F60" s="36">
        <f t="shared" si="5"/>
        <v>0.18408657812252482</v>
      </c>
      <c r="G60" s="43">
        <f t="shared" ca="1" si="6"/>
        <v>1.8808939525888017E-2</v>
      </c>
      <c r="H60" s="40">
        <f t="shared" ca="1" si="7"/>
        <v>2.1811531699610171E-4</v>
      </c>
    </row>
    <row r="61" spans="1:8" x14ac:dyDescent="0.25">
      <c r="A61" s="20">
        <v>49</v>
      </c>
      <c r="B61" s="26">
        <f>Datos!D52</f>
        <v>1.2316071238145734E-3</v>
      </c>
      <c r="C61" s="29">
        <f>B61^2</f>
        <v>1.516856107430806E-6</v>
      </c>
      <c r="D61" s="31">
        <f>$B$4+$B$5*C60+$B$6*D60</f>
        <v>1.3261192263222418E-4</v>
      </c>
      <c r="E61" s="34">
        <f t="shared" si="4"/>
        <v>1.151572501548314E-2</v>
      </c>
      <c r="F61" s="36">
        <f t="shared" si="5"/>
        <v>0.18280646734544292</v>
      </c>
      <c r="G61" s="43">
        <f t="shared" ca="1" si="6"/>
        <v>-0.68315981135961534</v>
      </c>
      <c r="H61" s="40">
        <f t="shared" ca="1" si="7"/>
        <v>-7.8670805292466658E-3</v>
      </c>
    </row>
    <row r="62" spans="1:8" x14ac:dyDescent="0.25">
      <c r="A62" s="20">
        <v>50</v>
      </c>
      <c r="B62" s="26">
        <f>Datos!D53</f>
        <v>-4.9061387291933767E-3</v>
      </c>
      <c r="C62" s="29">
        <f>B62^2</f>
        <v>2.4070197230091202E-5</v>
      </c>
      <c r="D62" s="31">
        <f>$B$4+$B$5*C61+$B$6*D61</f>
        <v>1.2487181984813364E-4</v>
      </c>
      <c r="E62" s="34">
        <f t="shared" si="4"/>
        <v>1.1174606026528793E-2</v>
      </c>
      <c r="F62" s="36">
        <f t="shared" si="5"/>
        <v>0.17739137127191298</v>
      </c>
      <c r="G62" s="43">
        <f t="shared" ca="1" si="6"/>
        <v>0.65584501996151723</v>
      </c>
      <c r="H62" s="40">
        <f t="shared" ca="1" si="7"/>
        <v>7.3288097125308671E-3</v>
      </c>
    </row>
    <row r="63" spans="1:8" x14ac:dyDescent="0.25">
      <c r="A63" s="20">
        <v>51</v>
      </c>
      <c r="B63" s="26">
        <f>Datos!D54</f>
        <v>-3.9930647301965165E-4</v>
      </c>
      <c r="C63" s="29">
        <f>B63^2</f>
        <v>1.5944565939539378E-7</v>
      </c>
      <c r="D63" s="31">
        <f>$B$4+$B$5*C62+$B$6*D62</f>
        <v>1.205480665939227E-4</v>
      </c>
      <c r="E63" s="34">
        <f t="shared" si="4"/>
        <v>1.0979438355121936E-2</v>
      </c>
      <c r="F63" s="36">
        <f t="shared" si="5"/>
        <v>0.17429318053690029</v>
      </c>
      <c r="G63" s="43">
        <f t="shared" ca="1" si="6"/>
        <v>0.8483975238825634</v>
      </c>
      <c r="H63" s="40">
        <f t="shared" ca="1" si="7"/>
        <v>9.3149283141066956E-3</v>
      </c>
    </row>
    <row r="64" spans="1:8" x14ac:dyDescent="0.25">
      <c r="A64" s="20">
        <v>52</v>
      </c>
      <c r="B64" s="26">
        <f>Datos!D55</f>
        <v>1.0186244049720987E-2</v>
      </c>
      <c r="C64" s="29">
        <f>B64^2</f>
        <v>1.037595678404762E-4</v>
      </c>
      <c r="D64" s="31">
        <f>$B$4+$B$5*C63+$B$6*D63</f>
        <v>1.1448180117077384E-4</v>
      </c>
      <c r="E64" s="34">
        <f t="shared" si="4"/>
        <v>1.0699616870279694E-2</v>
      </c>
      <c r="F64" s="36">
        <f t="shared" si="5"/>
        <v>0.16985115217458788</v>
      </c>
      <c r="G64" s="43">
        <f t="shared" ca="1" si="6"/>
        <v>-0.23150731245258893</v>
      </c>
      <c r="H64" s="40">
        <f t="shared" ca="1" si="7"/>
        <v>-2.4770395459108329E-3</v>
      </c>
    </row>
    <row r="65" spans="1:8" x14ac:dyDescent="0.25">
      <c r="A65" s="20">
        <v>53</v>
      </c>
      <c r="B65" s="26">
        <f>Datos!D56</f>
        <v>2.9240009668849726E-3</v>
      </c>
      <c r="C65" s="29">
        <f>B65^2</f>
        <v>8.549781654344255E-6</v>
      </c>
      <c r="D65" s="31">
        <f>$B$4+$B$5*C64+$B$6*D64</f>
        <v>1.1968548777920538E-4</v>
      </c>
      <c r="E65" s="34">
        <f t="shared" si="4"/>
        <v>1.0940086278416883E-2</v>
      </c>
      <c r="F65" s="36">
        <f t="shared" si="5"/>
        <v>0.17366848568568724</v>
      </c>
      <c r="G65" s="43">
        <f t="shared" ca="1" si="6"/>
        <v>-1.431190993626261</v>
      </c>
      <c r="H65" s="40">
        <f t="shared" ca="1" si="7"/>
        <v>-1.5657352951164483E-2</v>
      </c>
    </row>
    <row r="66" spans="1:8" x14ac:dyDescent="0.25">
      <c r="A66" s="20">
        <v>54</v>
      </c>
      <c r="B66" s="26">
        <f>Datos!D57</f>
        <v>-4.0704462796038324E-3</v>
      </c>
      <c r="C66" s="29">
        <f>B66^2</f>
        <v>1.6568532915140681E-5</v>
      </c>
      <c r="D66" s="31">
        <f>$B$4+$B$5*C65+$B$6*D65</f>
        <v>1.14587642777759E-4</v>
      </c>
      <c r="E66" s="34">
        <f t="shared" si="4"/>
        <v>1.0704561774204445E-2</v>
      </c>
      <c r="F66" s="36">
        <f t="shared" si="5"/>
        <v>0.16992965009083988</v>
      </c>
      <c r="G66" s="43">
        <f t="shared" ca="1" si="6"/>
        <v>0.39827296704556581</v>
      </c>
      <c r="H66" s="40">
        <f t="shared" ca="1" si="7"/>
        <v>4.2633375787349504E-3</v>
      </c>
    </row>
    <row r="67" spans="1:8" x14ac:dyDescent="0.25">
      <c r="A67" s="20">
        <v>55</v>
      </c>
      <c r="B67" s="26">
        <f>Datos!D58</f>
        <v>8.0871977845929817E-3</v>
      </c>
      <c r="C67" s="29">
        <f>B67^2</f>
        <v>6.5402768007125637E-5</v>
      </c>
      <c r="D67" s="31">
        <f>$B$4+$B$5*C66+$B$6*D66</f>
        <v>1.1105634965260922E-4</v>
      </c>
      <c r="E67" s="34">
        <f t="shared" si="4"/>
        <v>1.0538327649708431E-2</v>
      </c>
      <c r="F67" s="36">
        <f t="shared" si="5"/>
        <v>0.16729076517386585</v>
      </c>
      <c r="G67" s="43">
        <f t="shared" ca="1" si="6"/>
        <v>-0.17265680081280477</v>
      </c>
      <c r="H67" s="40">
        <f t="shared" ca="1" si="7"/>
        <v>-1.8195139379157815E-3</v>
      </c>
    </row>
    <row r="68" spans="1:8" x14ac:dyDescent="0.25">
      <c r="A68" s="20">
        <v>56</v>
      </c>
      <c r="B68" s="26">
        <f>Datos!D59</f>
        <v>1.4482958012583242E-2</v>
      </c>
      <c r="C68" s="29">
        <f>B68^2</f>
        <v>2.0975607279424913E-4</v>
      </c>
      <c r="D68" s="31">
        <f>$B$4+$B$5*C67+$B$6*D67</f>
        <v>1.1293817400543041E-4</v>
      </c>
      <c r="E68" s="34">
        <f t="shared" si="4"/>
        <v>1.0627237364688454E-2</v>
      </c>
      <c r="F68" s="36">
        <f t="shared" si="5"/>
        <v>0.1687021631437145</v>
      </c>
      <c r="G68" s="43">
        <f t="shared" ca="1" si="6"/>
        <v>1.2242443140181813</v>
      </c>
      <c r="H68" s="40">
        <f t="shared" ca="1" si="7"/>
        <v>1.3010334917441402E-2</v>
      </c>
    </row>
    <row r="69" spans="1:8" x14ac:dyDescent="0.25">
      <c r="A69" s="20">
        <v>57</v>
      </c>
      <c r="B69" s="26">
        <f>Datos!D60</f>
        <v>-3.8103109376631393E-3</v>
      </c>
      <c r="C69" s="29">
        <f>B69^2</f>
        <v>1.4518469441675352E-5</v>
      </c>
      <c r="D69" s="31">
        <f>$B$4+$B$5*C68+$B$6*D68</f>
        <v>1.2897305518404077E-4</v>
      </c>
      <c r="E69" s="34">
        <f t="shared" si="4"/>
        <v>1.1356630450271804E-2</v>
      </c>
      <c r="F69" s="36">
        <f t="shared" si="5"/>
        <v>0.18028091941849606</v>
      </c>
      <c r="G69" s="43">
        <f t="shared" ca="1" si="6"/>
        <v>0.59467499708093463</v>
      </c>
      <c r="H69" s="40">
        <f t="shared" ca="1" si="7"/>
        <v>6.7535041798646384E-3</v>
      </c>
    </row>
    <row r="70" spans="1:8" x14ac:dyDescent="0.25">
      <c r="A70" s="20">
        <v>58</v>
      </c>
      <c r="B70" s="26">
        <f>Datos!D61</f>
        <v>8.3903630375044835E-3</v>
      </c>
      <c r="C70" s="29">
        <f>B70^2</f>
        <v>7.0398191901121458E-5</v>
      </c>
      <c r="D70" s="31">
        <f>$B$4+$B$5*C69+$B$6*D69</f>
        <v>1.2307894385060218E-4</v>
      </c>
      <c r="E70" s="34">
        <f t="shared" si="4"/>
        <v>1.1094094999169702E-2</v>
      </c>
      <c r="F70" s="36">
        <f t="shared" si="5"/>
        <v>0.17611329833477016</v>
      </c>
      <c r="G70" s="43">
        <f t="shared" ca="1" si="6"/>
        <v>0.16110256510183818</v>
      </c>
      <c r="H70" s="40">
        <f t="shared" ca="1" si="7"/>
        <v>1.7872871618497144E-3</v>
      </c>
    </row>
    <row r="71" spans="1:8" x14ac:dyDescent="0.25">
      <c r="A71" s="20">
        <v>59</v>
      </c>
      <c r="B71" s="26">
        <f>Datos!D62</f>
        <v>1.8782365766246575E-3</v>
      </c>
      <c r="C71" s="29">
        <f>B71^2</f>
        <v>3.5277726377707128E-6</v>
      </c>
      <c r="D71" s="31">
        <f>$B$4+$B$5*C70+$B$6*D70</f>
        <v>1.2365692146312399E-4</v>
      </c>
      <c r="E71" s="34">
        <f t="shared" si="4"/>
        <v>1.1120113374562509E-2</v>
      </c>
      <c r="F71" s="36">
        <f t="shared" si="5"/>
        <v>0.17652632723961389</v>
      </c>
      <c r="G71" s="43">
        <f t="shared" ca="1" si="6"/>
        <v>1.8350626771079563E-2</v>
      </c>
      <c r="H71" s="40">
        <f t="shared" ca="1" si="7"/>
        <v>2.0406105018868669E-4</v>
      </c>
    </row>
    <row r="72" spans="1:8" x14ac:dyDescent="0.25">
      <c r="A72" s="20">
        <v>60</v>
      </c>
      <c r="B72" s="26">
        <f>Datos!D63</f>
        <v>-1.6039102116678665E-3</v>
      </c>
      <c r="C72" s="29">
        <f>B72^2</f>
        <v>2.5725279670924603E-6</v>
      </c>
      <c r="D72" s="31">
        <f>$B$4+$B$5*C71+$B$6*D71</f>
        <v>1.1746116050743246E-4</v>
      </c>
      <c r="E72" s="34">
        <f t="shared" si="4"/>
        <v>1.0837950014067812E-2</v>
      </c>
      <c r="F72" s="36">
        <f t="shared" si="5"/>
        <v>0.17204712275383446</v>
      </c>
      <c r="G72" s="43">
        <f t="shared" ca="1" si="6"/>
        <v>0.82635174825653468</v>
      </c>
      <c r="H72" s="40">
        <f t="shared" ca="1" si="7"/>
        <v>8.9559589416418704E-3</v>
      </c>
    </row>
    <row r="73" spans="1:8" x14ac:dyDescent="0.25">
      <c r="A73" s="20">
        <v>61</v>
      </c>
      <c r="B73" s="26">
        <f>Datos!D64</f>
        <v>5.8322007849638527E-3</v>
      </c>
      <c r="C73" s="29">
        <f>B73^2</f>
        <v>3.4014565996132981E-5</v>
      </c>
      <c r="D73" s="31">
        <f>$B$4+$B$5*C72+$B$6*D72</f>
        <v>1.1209923922802685E-4</v>
      </c>
      <c r="E73" s="34">
        <f t="shared" si="4"/>
        <v>1.0587692818930234E-2</v>
      </c>
      <c r="F73" s="36">
        <f t="shared" si="5"/>
        <v>0.16807441294100292</v>
      </c>
      <c r="G73" s="43">
        <f t="shared" ca="1" si="6"/>
        <v>0.6934653206699195</v>
      </c>
      <c r="H73" s="40">
        <f t="shared" ca="1" si="7"/>
        <v>7.3421977958340583E-3</v>
      </c>
    </row>
    <row r="74" spans="1:8" x14ac:dyDescent="0.25">
      <c r="A74" s="20">
        <v>62</v>
      </c>
      <c r="B74" s="26">
        <f>Datos!D65</f>
        <v>7.6264178989046798E-3</v>
      </c>
      <c r="C74" s="29">
        <f>B74^2</f>
        <v>5.816224996873367E-5</v>
      </c>
      <c r="D74" s="31">
        <f>$B$4+$B$5*C73+$B$6*D73</f>
        <v>1.1068580994343612E-4</v>
      </c>
      <c r="E74" s="34">
        <f t="shared" si="4"/>
        <v>1.0520732386266468E-2</v>
      </c>
      <c r="F74" s="36">
        <f t="shared" si="5"/>
        <v>0.16701144902594525</v>
      </c>
      <c r="G74" s="43">
        <f t="shared" ca="1" si="6"/>
        <v>0.11960550909429093</v>
      </c>
      <c r="H74" s="40">
        <f t="shared" ca="1" si="7"/>
        <v>1.2583375531041953E-3</v>
      </c>
    </row>
    <row r="75" spans="1:8" x14ac:dyDescent="0.25">
      <c r="A75" s="20">
        <v>63</v>
      </c>
      <c r="B75" s="26">
        <f>Datos!D66</f>
        <v>-1.2440350542896567E-2</v>
      </c>
      <c r="C75" s="29">
        <f>B75^2</f>
        <v>1.5476232163014691E-4</v>
      </c>
      <c r="D75" s="31">
        <f>$B$4+$B$5*C74+$B$6*D74</f>
        <v>1.1189916344879407E-4</v>
      </c>
      <c r="E75" s="34">
        <f t="shared" si="4"/>
        <v>1.0578240092226781E-2</v>
      </c>
      <c r="F75" s="36">
        <f t="shared" si="5"/>
        <v>0.16792435555659013</v>
      </c>
      <c r="G75" s="43">
        <f t="shared" ca="1" si="6"/>
        <v>-0.93478027988674706</v>
      </c>
      <c r="H75" s="40">
        <f t="shared" ca="1" si="7"/>
        <v>-9.8883302341209595E-3</v>
      </c>
    </row>
    <row r="76" spans="1:8" x14ac:dyDescent="0.25">
      <c r="A76" s="20">
        <v>64</v>
      </c>
      <c r="B76" s="26">
        <f>Datos!D67</f>
        <v>-7.3591220985800621E-4</v>
      </c>
      <c r="C76" s="29">
        <f>B76^2</f>
        <v>5.4156678061809415E-7</v>
      </c>
      <c r="D76" s="31">
        <f>$B$4+$B$5*C75+$B$6*D75</f>
        <v>1.2259052109448966E-4</v>
      </c>
      <c r="E76" s="34">
        <f t="shared" si="4"/>
        <v>1.107206038163131E-2</v>
      </c>
      <c r="F76" s="36">
        <f t="shared" si="5"/>
        <v>0.17576350962532411</v>
      </c>
      <c r="G76" s="43">
        <f t="shared" ca="1" si="6"/>
        <v>-1.32184778943081</v>
      </c>
      <c r="H76" s="40">
        <f t="shared" ca="1" si="7"/>
        <v>-1.4635578539903799E-2</v>
      </c>
    </row>
    <row r="77" spans="1:8" x14ac:dyDescent="0.25">
      <c r="A77" s="20">
        <v>65</v>
      </c>
      <c r="B77" s="26">
        <f>Datos!D68</f>
        <v>-6.7007283473191409E-3</v>
      </c>
      <c r="C77" s="29">
        <f>B77^2</f>
        <v>4.4899760384566304E-5</v>
      </c>
      <c r="D77" s="31">
        <f>$B$4+$B$5*C76+$B$6*D76</f>
        <v>1.1625609960837802E-4</v>
      </c>
      <c r="E77" s="34">
        <f t="shared" ref="E77:E108" si="8">SQRT(D77)</f>
        <v>1.0782212185278956E-2</v>
      </c>
      <c r="F77" s="36">
        <f t="shared" ref="F77:F108" si="9">E77*SQRT(252)</f>
        <v>0.17116231215227043</v>
      </c>
      <c r="G77" s="43">
        <f t="shared" ref="G77:G112" ca="1" si="10">NORMSINV(RAND())</f>
        <v>-0.14821290832275641</v>
      </c>
      <c r="H77" s="40">
        <f t="shared" ref="H77:H108" ca="1" si="11">E77*G77</f>
        <v>-1.5980630261332571E-3</v>
      </c>
    </row>
    <row r="78" spans="1:8" x14ac:dyDescent="0.25">
      <c r="A78" s="20">
        <v>66</v>
      </c>
      <c r="B78" s="26">
        <f>Datos!D69</f>
        <v>1.073416057010809E-2</v>
      </c>
      <c r="C78" s="29">
        <f>B78^2</f>
        <v>1.1522220314486325E-4</v>
      </c>
      <c r="D78" s="31">
        <f>$B$4+$B$5*C77+$B$6*D77</f>
        <v>1.1530766070557793E-4</v>
      </c>
      <c r="E78" s="34">
        <f t="shared" si="8"/>
        <v>1.0738140467770848E-2</v>
      </c>
      <c r="F78" s="36">
        <f t="shared" si="9"/>
        <v>0.17046269532600275</v>
      </c>
      <c r="G78" s="43">
        <f t="shared" ca="1" si="10"/>
        <v>5.8315888342738931E-2</v>
      </c>
      <c r="H78" s="40">
        <f t="shared" ca="1" si="11"/>
        <v>6.2620420052717115E-4</v>
      </c>
    </row>
    <row r="79" spans="1:8" x14ac:dyDescent="0.25">
      <c r="A79" s="20">
        <v>67</v>
      </c>
      <c r="B79" s="26">
        <f>Datos!D70</f>
        <v>1.7138609811618597E-3</v>
      </c>
      <c r="C79" s="29">
        <f>B79^2</f>
        <v>2.9373194627490921E-6</v>
      </c>
      <c r="D79" s="31">
        <f>$B$4+$B$5*C78+$B$6*D78</f>
        <v>1.2153373191422757E-4</v>
      </c>
      <c r="E79" s="34">
        <f t="shared" si="8"/>
        <v>1.1024233847040236E-2</v>
      </c>
      <c r="F79" s="36">
        <f t="shared" si="9"/>
        <v>0.17500428692573605</v>
      </c>
      <c r="G79" s="43">
        <f t="shared" ca="1" si="10"/>
        <v>0.53977477746157487</v>
      </c>
      <c r="H79" s="40">
        <f t="shared" ca="1" si="11"/>
        <v>5.950603371470505E-3</v>
      </c>
    </row>
    <row r="80" spans="1:8" x14ac:dyDescent="0.25">
      <c r="A80" s="20">
        <v>68</v>
      </c>
      <c r="B80" s="26">
        <f>Datos!D71</f>
        <v>3.7200453914820997E-3</v>
      </c>
      <c r="C80" s="29">
        <f>B80^2</f>
        <v>1.3838737714687208E-5</v>
      </c>
      <c r="D80" s="31">
        <f>$B$4+$B$5*C79+$B$6*D79</f>
        <v>1.1559740407336834E-4</v>
      </c>
      <c r="E80" s="34">
        <f t="shared" si="8"/>
        <v>1.0751623322706592E-2</v>
      </c>
      <c r="F80" s="36">
        <f t="shared" si="9"/>
        <v>0.17067672901274158</v>
      </c>
      <c r="G80" s="43">
        <f t="shared" ca="1" si="10"/>
        <v>-0.82999096696854036</v>
      </c>
      <c r="H80" s="40">
        <f t="shared" ca="1" si="11"/>
        <v>-8.9237502380947551E-3</v>
      </c>
    </row>
    <row r="81" spans="1:8" x14ac:dyDescent="0.25">
      <c r="A81" s="20">
        <v>69</v>
      </c>
      <c r="B81" s="26">
        <f>Datos!D72</f>
        <v>6.0896937854017941E-3</v>
      </c>
      <c r="C81" s="29">
        <f>B81^2</f>
        <v>3.7084370399961231E-5</v>
      </c>
      <c r="D81" s="31">
        <f>$B$4+$B$5*C80+$B$6*D80</f>
        <v>1.116416672338318E-4</v>
      </c>
      <c r="E81" s="34">
        <f t="shared" si="8"/>
        <v>1.0566062049497523E-2</v>
      </c>
      <c r="F81" s="36">
        <f t="shared" si="9"/>
        <v>0.16773103512148735</v>
      </c>
      <c r="G81" s="43">
        <f t="shared" ca="1" si="10"/>
        <v>1.6125545373818011</v>
      </c>
      <c r="H81" s="40">
        <f t="shared" ca="1" si="11"/>
        <v>1.7038351300174885E-2</v>
      </c>
    </row>
    <row r="82" spans="1:8" x14ac:dyDescent="0.25">
      <c r="A82" s="20">
        <v>70</v>
      </c>
      <c r="B82" s="26">
        <f>Datos!D73</f>
        <v>1.648993187011506E-4</v>
      </c>
      <c r="C82" s="29">
        <f>B82^2</f>
        <v>2.7191785308103636E-8</v>
      </c>
      <c r="D82" s="31">
        <f>$B$4+$B$5*C81+$B$6*D81</f>
        <v>1.1060385418875315E-4</v>
      </c>
      <c r="E82" s="34">
        <f t="shared" si="8"/>
        <v>1.0516836700679209E-2</v>
      </c>
      <c r="F82" s="36">
        <f t="shared" si="9"/>
        <v>0.16694960693444533</v>
      </c>
      <c r="G82" s="43">
        <f t="shared" ca="1" si="10"/>
        <v>1.0973907344438361</v>
      </c>
      <c r="H82" s="40">
        <f t="shared" ca="1" si="11"/>
        <v>1.1541079150984247E-2</v>
      </c>
    </row>
    <row r="83" spans="1:8" x14ac:dyDescent="0.25">
      <c r="A83" s="20">
        <v>71</v>
      </c>
      <c r="B83" s="26">
        <f>Datos!D74</f>
        <v>5.7372245259546557E-3</v>
      </c>
      <c r="C83" s="29">
        <f>B83^2</f>
        <v>3.291574526121562E-5</v>
      </c>
      <c r="D83" s="31">
        <f>$B$4+$B$5*C82+$B$6*D82</f>
        <v>1.0601599523897098E-4</v>
      </c>
      <c r="E83" s="34">
        <f t="shared" si="8"/>
        <v>1.0296406909158699E-2</v>
      </c>
      <c r="F83" s="36">
        <f t="shared" si="9"/>
        <v>0.16345039247496682</v>
      </c>
      <c r="G83" s="43">
        <f t="shared" ca="1" si="10"/>
        <v>1.0766412021212863</v>
      </c>
      <c r="H83" s="40">
        <f t="shared" ca="1" si="11"/>
        <v>1.108553591220654E-2</v>
      </c>
    </row>
    <row r="84" spans="1:8" x14ac:dyDescent="0.25">
      <c r="A84" s="20">
        <v>72</v>
      </c>
      <c r="B84" s="26">
        <f>Datos!D75</f>
        <v>2.1698815079501913E-3</v>
      </c>
      <c r="C84" s="29">
        <f>B84^2</f>
        <v>4.7083857585441957E-6</v>
      </c>
      <c r="D84" s="31">
        <f>$B$4+$B$5*C83+$B$6*D83</f>
        <v>1.0540517047924689E-4</v>
      </c>
      <c r="E84" s="34">
        <f t="shared" si="8"/>
        <v>1.026670202544356E-2</v>
      </c>
      <c r="F84" s="36">
        <f t="shared" si="9"/>
        <v>0.16297884206476071</v>
      </c>
      <c r="G84" s="43">
        <f t="shared" ca="1" si="10"/>
        <v>0.10244029578685226</v>
      </c>
      <c r="H84" s="40">
        <f t="shared" ca="1" si="11"/>
        <v>1.0517239922419135E-3</v>
      </c>
    </row>
    <row r="85" spans="1:8" x14ac:dyDescent="0.25">
      <c r="A85" s="20">
        <v>73</v>
      </c>
      <c r="B85" s="26">
        <f>Datos!D76</f>
        <v>2.6218689303053738E-3</v>
      </c>
      <c r="C85" s="29">
        <f>B85^2</f>
        <v>6.874196687700645E-6</v>
      </c>
      <c r="D85" s="31">
        <f>$B$4+$B$5*C84+$B$6*D84</f>
        <v>1.0206523348321427E-4</v>
      </c>
      <c r="E85" s="34">
        <f t="shared" si="8"/>
        <v>1.010273396082537E-2</v>
      </c>
      <c r="F85" s="36">
        <f t="shared" si="9"/>
        <v>0.16037592973314294</v>
      </c>
      <c r="G85" s="43">
        <f t="shared" ca="1" si="10"/>
        <v>-0.12274511199041235</v>
      </c>
      <c r="H85" s="40">
        <f t="shared" ca="1" si="11"/>
        <v>-1.2400612114308522E-3</v>
      </c>
    </row>
    <row r="86" spans="1:8" x14ac:dyDescent="0.25">
      <c r="A86" s="20">
        <v>74</v>
      </c>
      <c r="B86" s="26">
        <f>Datos!D77</f>
        <v>1.2912780053423547E-3</v>
      </c>
      <c r="C86" s="29">
        <f>B86^2</f>
        <v>1.6673988870809302E-6</v>
      </c>
      <c r="D86" s="31">
        <f>$B$4+$B$5*C85+$B$6*D85</f>
        <v>9.9442868129502192E-5</v>
      </c>
      <c r="E86" s="34">
        <f t="shared" si="8"/>
        <v>9.9721044985249824E-3</v>
      </c>
      <c r="F86" s="36">
        <f t="shared" si="9"/>
        <v>0.15830225130627346</v>
      </c>
      <c r="G86" s="43">
        <f t="shared" ca="1" si="10"/>
        <v>-0.57467643367513066</v>
      </c>
      <c r="H86" s="40">
        <f t="shared" ca="1" si="11"/>
        <v>-5.7307334494480638E-3</v>
      </c>
    </row>
    <row r="87" spans="1:8" x14ac:dyDescent="0.25">
      <c r="A87" s="20">
        <v>75</v>
      </c>
      <c r="B87" s="26">
        <f>Datos!D78</f>
        <v>-7.3994003955932426E-3</v>
      </c>
      <c r="C87" s="29">
        <f>B87^2</f>
        <v>5.4751126214305437E-5</v>
      </c>
      <c r="D87" s="31">
        <f>$B$4+$B$5*C86+$B$6*D86</f>
        <v>9.6693177798784963E-5</v>
      </c>
      <c r="E87" s="34">
        <f t="shared" si="8"/>
        <v>9.8332689274109129E-3</v>
      </c>
      <c r="F87" s="36">
        <f t="shared" si="9"/>
        <v>0.15609830494048874</v>
      </c>
      <c r="G87" s="43">
        <f t="shared" ca="1" si="10"/>
        <v>-0.99644581041281932</v>
      </c>
      <c r="H87" s="40">
        <f t="shared" ca="1" si="11"/>
        <v>-9.7983196253811616E-3</v>
      </c>
    </row>
    <row r="88" spans="1:8" x14ac:dyDescent="0.25">
      <c r="A88" s="20">
        <v>76</v>
      </c>
      <c r="B88" s="26">
        <f>Datos!D79</f>
        <v>4.0467779144759105E-3</v>
      </c>
      <c r="C88" s="29">
        <f>B88^2</f>
        <v>1.6376411489089998E-5</v>
      </c>
      <c r="D88" s="31">
        <f>$B$4+$B$5*C87+$B$6*D87</f>
        <v>9.9664313750397773E-5</v>
      </c>
      <c r="E88" s="34">
        <f t="shared" si="8"/>
        <v>9.9832015781710914E-3</v>
      </c>
      <c r="F88" s="36">
        <f t="shared" si="9"/>
        <v>0.15847841198440954</v>
      </c>
      <c r="G88" s="43">
        <f t="shared" ca="1" si="10"/>
        <v>7.7488949802685475E-2</v>
      </c>
      <c r="H88" s="40">
        <f t="shared" ca="1" si="11"/>
        <v>7.7358780596099017E-4</v>
      </c>
    </row>
    <row r="89" spans="1:8" x14ac:dyDescent="0.25">
      <c r="A89" s="20">
        <v>77</v>
      </c>
      <c r="B89" s="26">
        <f>Datos!D80</f>
        <v>-2.6801354331751116E-2</v>
      </c>
      <c r="C89" s="29">
        <f>B89^2</f>
        <v>7.1831259401607432E-4</v>
      </c>
      <c r="D89" s="31">
        <f>$B$4+$B$5*C88+$B$6*D88</f>
        <v>9.8352307836747097E-5</v>
      </c>
      <c r="E89" s="34">
        <f t="shared" si="8"/>
        <v>9.9172732057127028E-3</v>
      </c>
      <c r="F89" s="36">
        <f t="shared" si="9"/>
        <v>0.15743183151720072</v>
      </c>
      <c r="G89" s="43">
        <f t="shared" ca="1" si="10"/>
        <v>0.99703631205639021</v>
      </c>
      <c r="H89" s="40">
        <f t="shared" ca="1" si="11"/>
        <v>9.8878815026794478E-3</v>
      </c>
    </row>
    <row r="90" spans="1:8" x14ac:dyDescent="0.25">
      <c r="A90" s="20">
        <v>78</v>
      </c>
      <c r="B90" s="26">
        <f>Datos!D81</f>
        <v>2.9737395870207137E-3</v>
      </c>
      <c r="C90" s="29">
        <f>B90^2</f>
        <v>8.8431271314141249E-6</v>
      </c>
      <c r="D90" s="31">
        <f>$B$4+$B$5*C89+$B$6*D89</f>
        <v>1.6743072106284245E-4</v>
      </c>
      <c r="E90" s="34">
        <f t="shared" si="8"/>
        <v>1.2939502349891299E-2</v>
      </c>
      <c r="F90" s="36">
        <f t="shared" si="9"/>
        <v>0.20540823184048954</v>
      </c>
      <c r="G90" s="43">
        <f t="shared" ca="1" si="10"/>
        <v>-0.50262787205138915</v>
      </c>
      <c r="H90" s="40">
        <f t="shared" ca="1" si="11"/>
        <v>-6.5037545315298128E-3</v>
      </c>
    </row>
    <row r="91" spans="1:8" x14ac:dyDescent="0.25">
      <c r="A91" s="20">
        <v>79</v>
      </c>
      <c r="B91" s="26">
        <f>Datos!D82</f>
        <v>-2.579708009296603E-3</v>
      </c>
      <c r="C91" s="29">
        <f>B91^2</f>
        <v>6.6548934132290421E-6</v>
      </c>
      <c r="D91" s="31">
        <f>$B$4+$B$5*C90+$B$6*D90</f>
        <v>1.5520042561655749E-4</v>
      </c>
      <c r="E91" s="34">
        <f t="shared" si="8"/>
        <v>1.2457946284061329E-2</v>
      </c>
      <c r="F91" s="36">
        <f t="shared" si="9"/>
        <v>0.19776376628536504</v>
      </c>
      <c r="G91" s="43">
        <f t="shared" ca="1" si="10"/>
        <v>0.83918221831603867</v>
      </c>
      <c r="H91" s="40">
        <f t="shared" ca="1" si="11"/>
        <v>1.0454486998320637E-2</v>
      </c>
    </row>
    <row r="92" spans="1:8" x14ac:dyDescent="0.25">
      <c r="A92" s="20">
        <v>80</v>
      </c>
      <c r="B92" s="26">
        <f>Datos!D83</f>
        <v>-1.6332141340852126E-2</v>
      </c>
      <c r="C92" s="29">
        <f>B92^2</f>
        <v>2.6673884077757108E-4</v>
      </c>
      <c r="D92" s="31">
        <f>$B$4+$B$5*C91+$B$6*D91</f>
        <v>1.4458585111539677E-4</v>
      </c>
      <c r="E92" s="34">
        <f t="shared" si="8"/>
        <v>1.202438568557233E-2</v>
      </c>
      <c r="F92" s="36">
        <f t="shared" si="9"/>
        <v>0.19088120515409573</v>
      </c>
      <c r="G92" s="43">
        <f t="shared" ca="1" si="10"/>
        <v>-0.34190680251075545</v>
      </c>
      <c r="H92" s="40">
        <f t="shared" ca="1" si="11"/>
        <v>-4.1112192619101335E-3</v>
      </c>
    </row>
    <row r="93" spans="1:8" x14ac:dyDescent="0.25">
      <c r="A93" s="20">
        <v>81</v>
      </c>
      <c r="B93" s="26">
        <f>Datos!D84</f>
        <v>1.7367257579397138E-2</v>
      </c>
      <c r="C93" s="29">
        <f>B93^2</f>
        <v>3.0162163582912738E-4</v>
      </c>
      <c r="D93" s="31">
        <f>$B$4+$B$5*C92+$B$6*D92</f>
        <v>1.6157185752584436E-4</v>
      </c>
      <c r="E93" s="34">
        <f t="shared" si="8"/>
        <v>1.2711091909267447E-2</v>
      </c>
      <c r="F93" s="36">
        <f t="shared" si="9"/>
        <v>0.20178232850404115</v>
      </c>
      <c r="G93" s="43">
        <f t="shared" ca="1" si="10"/>
        <v>1.1852529706715689</v>
      </c>
      <c r="H93" s="40">
        <f t="shared" ca="1" si="11"/>
        <v>1.5065859445938586E-2</v>
      </c>
    </row>
    <row r="94" spans="1:8" x14ac:dyDescent="0.25">
      <c r="A94" s="20">
        <v>82</v>
      </c>
      <c r="B94" s="26">
        <f>Datos!D85</f>
        <v>5.0129069696037117E-3</v>
      </c>
      <c r="C94" s="29">
        <f>B94^2</f>
        <v>2.5129236285901468E-5</v>
      </c>
      <c r="D94" s="31">
        <f>$B$4+$B$5*C93+$B$6*D93</f>
        <v>1.7949824247988046E-4</v>
      </c>
      <c r="E94" s="34">
        <f t="shared" si="8"/>
        <v>1.3397695416745391E-2</v>
      </c>
      <c r="F94" s="36">
        <f t="shared" si="9"/>
        <v>0.21268182128458907</v>
      </c>
      <c r="G94" s="43">
        <f t="shared" ca="1" si="10"/>
        <v>0.63104913706933019</v>
      </c>
      <c r="H94" s="40">
        <f t="shared" ca="1" si="11"/>
        <v>8.4546041314548983E-3</v>
      </c>
    </row>
    <row r="95" spans="1:8" x14ac:dyDescent="0.25">
      <c r="A95" s="20">
        <v>83</v>
      </c>
      <c r="B95" s="26">
        <f>Datos!D86</f>
        <v>1.6393273711308838E-2</v>
      </c>
      <c r="C95" s="29">
        <f>B95^2</f>
        <v>2.6873942297388946E-4</v>
      </c>
      <c r="D95" s="31">
        <f>$B$4+$B$5*C94+$B$6*D94</f>
        <v>1.6708642973648852E-4</v>
      </c>
      <c r="E95" s="34">
        <f t="shared" si="8"/>
        <v>1.2926191617660962E-2</v>
      </c>
      <c r="F95" s="36">
        <f t="shared" si="9"/>
        <v>0.20519693051699167</v>
      </c>
      <c r="G95" s="43">
        <f t="shared" ca="1" si="10"/>
        <v>-1.5005217236756565</v>
      </c>
      <c r="H95" s="40">
        <f t="shared" ca="1" si="11"/>
        <v>-1.939603132669445E-2</v>
      </c>
    </row>
    <row r="96" spans="1:8" x14ac:dyDescent="0.25">
      <c r="A96" s="20">
        <v>84</v>
      </c>
      <c r="B96" s="26">
        <f>Datos!D87</f>
        <v>-5.7004038695285929E-3</v>
      </c>
      <c r="C96" s="29">
        <f>B96^2</f>
        <v>3.2494604275736556E-5</v>
      </c>
      <c r="D96" s="31">
        <f>$B$4+$B$5*C95+$B$6*D95</f>
        <v>1.8089740757340418E-4</v>
      </c>
      <c r="E96" s="34">
        <f t="shared" si="8"/>
        <v>1.3449810689128832E-2</v>
      </c>
      <c r="F96" s="36">
        <f t="shared" si="9"/>
        <v>0.21350912558599891</v>
      </c>
      <c r="G96" s="43">
        <f t="shared" ca="1" si="10"/>
        <v>-0.86214325896842703</v>
      </c>
      <c r="H96" s="40">
        <f t="shared" ca="1" si="11"/>
        <v>-1.1595663620033916E-2</v>
      </c>
    </row>
    <row r="97" spans="1:8" x14ac:dyDescent="0.25">
      <c r="A97" s="20">
        <v>85</v>
      </c>
      <c r="B97" s="26">
        <f>Datos!D88</f>
        <v>-1.222267576324425E-2</v>
      </c>
      <c r="C97" s="29">
        <f>B97^2</f>
        <v>1.4939380281339841E-4</v>
      </c>
      <c r="D97" s="31">
        <f>$B$4+$B$5*C96+$B$6*D96</f>
        <v>1.6901225686496719E-4</v>
      </c>
      <c r="E97" s="34">
        <f t="shared" si="8"/>
        <v>1.300047140933617E-2</v>
      </c>
      <c r="F97" s="36">
        <f t="shared" si="9"/>
        <v>0.20637608565425339</v>
      </c>
      <c r="G97" s="43">
        <f t="shared" ca="1" si="10"/>
        <v>0.90560573608287975</v>
      </c>
      <c r="H97" s="40">
        <f t="shared" ca="1" si="11"/>
        <v>1.1773301480076315E-2</v>
      </c>
    </row>
    <row r="98" spans="1:8" x14ac:dyDescent="0.25">
      <c r="A98" s="20">
        <v>86</v>
      </c>
      <c r="B98" s="26">
        <f>Datos!D89</f>
        <v>1.0787816708107183E-2</v>
      </c>
      <c r="C98" s="29">
        <f>B98^2</f>
        <v>1.163769893277165E-4</v>
      </c>
      <c r="D98" s="31">
        <f>$B$4+$B$5*C97+$B$6*D97</f>
        <v>1.7059979861656194E-4</v>
      </c>
      <c r="E98" s="34">
        <f t="shared" si="8"/>
        <v>1.3061385784692294E-2</v>
      </c>
      <c r="F98" s="36">
        <f t="shared" si="9"/>
        <v>0.20734307138502026</v>
      </c>
      <c r="G98" s="43">
        <f t="shared" ca="1" si="10"/>
        <v>-1.0940844291384579</v>
      </c>
      <c r="H98" s="40">
        <f t="shared" ca="1" si="11"/>
        <v>-1.4290258810002237E-2</v>
      </c>
    </row>
    <row r="99" spans="1:8" x14ac:dyDescent="0.25">
      <c r="A99" s="20">
        <v>87</v>
      </c>
      <c r="B99" s="26">
        <f>Datos!D90</f>
        <v>-3.7119274964131756E-3</v>
      </c>
      <c r="C99" s="29">
        <f>B99^2</f>
        <v>1.3778405738628185E-5</v>
      </c>
      <c r="D99" s="31">
        <f>$B$4+$B$5*C98+$B$6*D98</f>
        <v>1.686475277568493E-4</v>
      </c>
      <c r="E99" s="34">
        <f t="shared" si="8"/>
        <v>1.2986436299341297E-2</v>
      </c>
      <c r="F99" s="36">
        <f t="shared" si="9"/>
        <v>0.20615328519023418</v>
      </c>
      <c r="G99" s="43">
        <f t="shared" ca="1" si="10"/>
        <v>0.92760461316354204</v>
      </c>
      <c r="H99" s="40">
        <f t="shared" ca="1" si="11"/>
        <v>1.2046278219823464E-2</v>
      </c>
    </row>
    <row r="100" spans="1:8" x14ac:dyDescent="0.25">
      <c r="A100" s="20">
        <v>88</v>
      </c>
      <c r="B100" s="26">
        <f>Datos!D91</f>
        <v>-1.446691785533019E-2</v>
      </c>
      <c r="C100" s="29">
        <f>B100^2</f>
        <v>2.0929171223287146E-4</v>
      </c>
      <c r="D100" s="31">
        <f>$B$4+$B$5*C99+$B$6*D99</f>
        <v>1.5672823916718472E-4</v>
      </c>
      <c r="E100" s="34">
        <f t="shared" si="8"/>
        <v>1.2519114951432658E-2</v>
      </c>
      <c r="F100" s="36">
        <f t="shared" si="9"/>
        <v>0.19873478877672765</v>
      </c>
      <c r="G100" s="43">
        <f t="shared" ca="1" si="10"/>
        <v>1.0309517665189352</v>
      </c>
      <c r="H100" s="40">
        <f t="shared" ca="1" si="11"/>
        <v>1.2906603674433113E-2</v>
      </c>
    </row>
    <row r="101" spans="1:8" x14ac:dyDescent="0.25">
      <c r="A101" s="20">
        <v>89</v>
      </c>
      <c r="B101" s="26">
        <f>Datos!D92</f>
        <v>-9.834498689903408E-4</v>
      </c>
      <c r="C101" s="29">
        <f>B101^2</f>
        <v>9.6717364481711842E-7</v>
      </c>
      <c r="D101" s="31">
        <f>$B$4+$B$5*C100+$B$6*D100</f>
        <v>1.6614817451539413E-4</v>
      </c>
      <c r="E101" s="34">
        <f t="shared" si="8"/>
        <v>1.2889847730496824E-2</v>
      </c>
      <c r="F101" s="36">
        <f t="shared" si="9"/>
        <v>0.20461998919430946</v>
      </c>
      <c r="G101" s="43">
        <f t="shared" ca="1" si="10"/>
        <v>1.2018175001191815</v>
      </c>
      <c r="H101" s="40">
        <f t="shared" ca="1" si="11"/>
        <v>1.5491244576382599E-2</v>
      </c>
    </row>
    <row r="102" spans="1:8" x14ac:dyDescent="0.25">
      <c r="A102" s="20">
        <v>90</v>
      </c>
      <c r="B102" s="26">
        <f>Datos!D93</f>
        <v>-9.9213697551659894E-5</v>
      </c>
      <c r="C102" s="29">
        <f>B102^2</f>
        <v>9.843357781872245E-9</v>
      </c>
      <c r="D102" s="31">
        <f>$B$4+$B$5*C101+$B$6*D101</f>
        <v>1.5332266570256673E-4</v>
      </c>
      <c r="E102" s="34">
        <f t="shared" si="8"/>
        <v>1.2382352995394967E-2</v>
      </c>
      <c r="F102" s="36">
        <f t="shared" si="9"/>
        <v>0.19656376002978479</v>
      </c>
      <c r="G102" s="43">
        <f t="shared" ca="1" si="10"/>
        <v>-0.85728844271205085</v>
      </c>
      <c r="H102" s="40">
        <f t="shared" ca="1" si="11"/>
        <v>-1.061524811653305E-2</v>
      </c>
    </row>
    <row r="103" spans="1:8" x14ac:dyDescent="0.25">
      <c r="A103" s="20">
        <v>91</v>
      </c>
      <c r="B103" s="26">
        <f>Datos!D94</f>
        <v>-4.7173948348602443E-4</v>
      </c>
      <c r="C103" s="44">
        <f>B103^2</f>
        <v>2.2253814027966112E-7</v>
      </c>
      <c r="D103" s="31">
        <f>$B$4+$B$5*C102+$B$6*D102</f>
        <v>1.4232525018295991E-4</v>
      </c>
      <c r="E103" s="46">
        <f>SQRT(D103)</f>
        <v>1.1930014676560961E-2</v>
      </c>
      <c r="F103" s="36">
        <f t="shared" si="9"/>
        <v>0.18938311182918582</v>
      </c>
      <c r="G103" s="48">
        <f t="shared" ca="1" si="10"/>
        <v>-1.7018336187925285</v>
      </c>
      <c r="H103" s="40">
        <f t="shared" ca="1" si="11"/>
        <v>-2.0302900049259717E-2</v>
      </c>
    </row>
    <row r="104" spans="1:8" x14ac:dyDescent="0.25">
      <c r="A104" s="20">
        <v>92</v>
      </c>
      <c r="B104" s="26">
        <f>Datos!D95</f>
        <v>1.1681540390059574E-2</v>
      </c>
      <c r="C104" s="44">
        <f>B104^2</f>
        <v>1.3645838588459319E-4</v>
      </c>
      <c r="D104" s="31">
        <f>$B$4+$B$5*C103+$B$6*D103</f>
        <v>1.3299871646954388E-4</v>
      </c>
      <c r="E104" s="46">
        <f t="shared" si="8"/>
        <v>1.1532506946433801E-2</v>
      </c>
      <c r="F104" s="36">
        <f t="shared" si="9"/>
        <v>0.18307287224033236</v>
      </c>
      <c r="G104" s="48">
        <f t="shared" ca="1" si="10"/>
        <v>-1.9777522817646231E-2</v>
      </c>
      <c r="H104" s="40">
        <f t="shared" ca="1" si="11"/>
        <v>-2.2808441927775816E-4</v>
      </c>
    </row>
    <row r="105" spans="1:8" x14ac:dyDescent="0.25">
      <c r="A105" s="20">
        <v>93</v>
      </c>
      <c r="B105" s="26">
        <f>Datos!D96</f>
        <v>7.8890406940170833E-3</v>
      </c>
      <c r="C105" s="44">
        <f>B105^2</f>
        <v>6.2236963071857538E-5</v>
      </c>
      <c r="D105" s="31">
        <f>$B$4+$B$5*C104+$B$6*D104</f>
        <v>1.386947475875716E-4</v>
      </c>
      <c r="E105" s="46">
        <f t="shared" si="8"/>
        <v>1.1776873421565318E-2</v>
      </c>
      <c r="F105" s="36">
        <f t="shared" si="9"/>
        <v>0.18695206977208903</v>
      </c>
      <c r="G105" s="48">
        <f t="shared" ca="1" si="10"/>
        <v>0.69262099437261249</v>
      </c>
      <c r="H105" s="40">
        <f t="shared" ca="1" si="11"/>
        <v>8.1569097798449616E-3</v>
      </c>
    </row>
    <row r="106" spans="1:8" x14ac:dyDescent="0.25">
      <c r="A106" s="20">
        <v>94</v>
      </c>
      <c r="B106" s="26">
        <f>Datos!D97</f>
        <v>-2.1531666062711637E-3</v>
      </c>
      <c r="C106" s="44">
        <f>B106^2</f>
        <v>4.6361264343612802E-6</v>
      </c>
      <c r="D106" s="31">
        <f>$B$4+$B$5*C105+$B$6*D105</f>
        <v>1.361142317566216E-4</v>
      </c>
      <c r="E106" s="46">
        <f t="shared" si="8"/>
        <v>1.1666800407850543E-2</v>
      </c>
      <c r="F106" s="36">
        <f t="shared" si="9"/>
        <v>0.18520471484999684</v>
      </c>
      <c r="G106" s="48">
        <f t="shared" ca="1" si="10"/>
        <v>1.0808018522004483</v>
      </c>
      <c r="H106" s="40">
        <f t="shared" ca="1" si="11"/>
        <v>1.2609499490057813E-2</v>
      </c>
    </row>
    <row r="107" spans="1:8" x14ac:dyDescent="0.25">
      <c r="A107" s="20">
        <v>95</v>
      </c>
      <c r="B107" s="26">
        <f>Datos!D98</f>
        <v>1.3363204549235743E-6</v>
      </c>
      <c r="C107" s="44">
        <f>B107^2</f>
        <v>1.7857523582471487E-12</v>
      </c>
      <c r="D107" s="31">
        <f>$B$4+$B$5*C106+$B$6*D106</f>
        <v>1.2816070963656448E-4</v>
      </c>
      <c r="E107" s="46">
        <f t="shared" si="8"/>
        <v>1.1320808700643451E-2</v>
      </c>
      <c r="F107" s="36">
        <f t="shared" si="9"/>
        <v>0.17971226677223301</v>
      </c>
      <c r="G107" s="48">
        <f t="shared" ca="1" si="10"/>
        <v>-0.75195370389087235</v>
      </c>
      <c r="H107" s="40">
        <f t="shared" ca="1" si="11"/>
        <v>-8.5127240334888568E-3</v>
      </c>
    </row>
    <row r="108" spans="1:8" x14ac:dyDescent="0.25">
      <c r="A108" s="20">
        <v>96</v>
      </c>
      <c r="B108" s="26">
        <f>Datos!D99</f>
        <v>7.2154218293220126E-3</v>
      </c>
      <c r="C108" s="44">
        <f>B108^2</f>
        <v>5.2062312175056622E-5</v>
      </c>
      <c r="D108" s="31">
        <f>$B$4+$B$5*C107+$B$6*D107</f>
        <v>1.2093660336965504E-4</v>
      </c>
      <c r="E108" s="46">
        <f t="shared" si="8"/>
        <v>1.0997117957431166E-2</v>
      </c>
      <c r="F108" s="36">
        <f t="shared" si="9"/>
        <v>0.17457383552283276</v>
      </c>
      <c r="G108" s="48">
        <f t="shared" ca="1" si="10"/>
        <v>-0.37151052505773352</v>
      </c>
      <c r="H108" s="40">
        <f t="shared" ca="1" si="11"/>
        <v>-4.0855450664870827E-3</v>
      </c>
    </row>
    <row r="109" spans="1:8" x14ac:dyDescent="0.25">
      <c r="A109" s="20">
        <v>97</v>
      </c>
      <c r="B109" s="26">
        <f>Datos!D100</f>
        <v>-4.4650529462263375E-3</v>
      </c>
      <c r="C109" s="44">
        <f>B109^2</f>
        <v>1.9936697812604497E-5</v>
      </c>
      <c r="D109" s="31">
        <f>$B$4+$B$5*C108+$B$6*D108</f>
        <v>1.2000234408171244E-4</v>
      </c>
      <c r="E109" s="46">
        <f t="shared" ref="E109:E140" si="12">SQRT(D109)</f>
        <v>1.0954558141783376E-2</v>
      </c>
      <c r="F109" s="36">
        <f t="shared" ref="F109:F140" si="13">E109*SQRT(252)</f>
        <v>0.17389821939453992</v>
      </c>
      <c r="G109" s="48">
        <f t="shared" ca="1" si="10"/>
        <v>-0.41419185605330772</v>
      </c>
      <c r="H109" s="40">
        <f t="shared" ref="H109:H140" ca="1" si="14">E109*G109</f>
        <v>-4.5372887689891306E-3</v>
      </c>
    </row>
    <row r="110" spans="1:8" x14ac:dyDescent="0.25">
      <c r="A110" s="20">
        <v>98</v>
      </c>
      <c r="B110" s="26">
        <f>Datos!D101</f>
        <v>-2.8211963280920745E-3</v>
      </c>
      <c r="C110" s="44">
        <f>B110^2</f>
        <v>7.9591487216402051E-6</v>
      </c>
      <c r="D110" s="31">
        <f>$B$4+$B$5*C109+$B$6*D109</f>
        <v>1.1599566225071603E-4</v>
      </c>
      <c r="E110" s="46">
        <f t="shared" si="12"/>
        <v>1.0770128237431346E-2</v>
      </c>
      <c r="F110" s="36">
        <f t="shared" si="13"/>
        <v>0.17097048542710652</v>
      </c>
      <c r="G110" s="48">
        <f t="shared" ca="1" si="10"/>
        <v>0.36945323970880556</v>
      </c>
      <c r="H110" s="40">
        <f t="shared" ca="1" si="14"/>
        <v>3.9790587693982983E-3</v>
      </c>
    </row>
    <row r="111" spans="1:8" x14ac:dyDescent="0.25">
      <c r="A111" s="20">
        <v>99</v>
      </c>
      <c r="B111" s="26">
        <f>Datos!D102</f>
        <v>8.1097983130782817E-3</v>
      </c>
      <c r="C111" s="44">
        <f>B111^2</f>
        <v>6.5768828678807348E-5</v>
      </c>
      <c r="D111" s="31">
        <f>$B$4+$B$5*C110+$B$6*D110</f>
        <v>1.1139222778527264E-4</v>
      </c>
      <c r="E111" s="46">
        <f t="shared" si="12"/>
        <v>1.0554251644966242E-2</v>
      </c>
      <c r="F111" s="36">
        <f t="shared" si="13"/>
        <v>0.16754355076185029</v>
      </c>
      <c r="G111" s="48">
        <f t="shared" ca="1" si="10"/>
        <v>0.6976226312584114</v>
      </c>
      <c r="H111" s="40">
        <f t="shared" ca="1" si="14"/>
        <v>7.3628848035247668E-3</v>
      </c>
    </row>
    <row r="112" spans="1:8" ht="15.75" thickBot="1" x14ac:dyDescent="0.3">
      <c r="A112" s="21">
        <v>100</v>
      </c>
      <c r="B112" s="27">
        <f>Datos!D103</f>
        <v>4.2000110685318937E-3</v>
      </c>
      <c r="C112" s="45">
        <f>B112^2</f>
        <v>1.7640092975790421E-5</v>
      </c>
      <c r="D112" s="32">
        <f>$B$4+$B$5*C111+$B$6*D111</f>
        <v>1.1326027648536247E-4</v>
      </c>
      <c r="E112" s="47">
        <f t="shared" si="12"/>
        <v>1.0642381147344915E-2</v>
      </c>
      <c r="F112" s="37">
        <f t="shared" si="13"/>
        <v>0.16894256324062135</v>
      </c>
      <c r="G112" s="49">
        <f t="shared" ca="1" si="10"/>
        <v>-0.47107269736772189</v>
      </c>
      <c r="H112" s="41">
        <f t="shared" ca="1" si="14"/>
        <v>-5.0133351934951598E-3</v>
      </c>
    </row>
  </sheetData>
  <mergeCells count="4">
    <mergeCell ref="A1:H1"/>
    <mergeCell ref="A3:B3"/>
    <mergeCell ref="E3:F9"/>
    <mergeCell ref="C3:D1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6"/>
  <sheetViews>
    <sheetView showGridLines="0" topLeftCell="A60" zoomScale="93" zoomScaleNormal="93" workbookViewId="0">
      <selection activeCell="A77" sqref="A77"/>
    </sheetView>
  </sheetViews>
  <sheetFormatPr baseColWidth="10" defaultColWidth="8.7109375" defaultRowHeight="15" x14ac:dyDescent="0.25"/>
  <cols>
    <col min="1" max="1" width="36.7109375" customWidth="1"/>
    <col min="2" max="2" width="16" customWidth="1"/>
  </cols>
  <sheetData>
    <row r="1" spans="1:6" ht="27.75" customHeight="1" x14ac:dyDescent="0.25">
      <c r="A1" s="2" t="s">
        <v>142</v>
      </c>
      <c r="B1" s="2"/>
      <c r="C1" s="2"/>
      <c r="D1" s="2"/>
      <c r="E1" s="2"/>
      <c r="F1" s="2"/>
    </row>
    <row r="2" spans="1:6" ht="15.75" thickBot="1" x14ac:dyDescent="0.3"/>
    <row r="3" spans="1:6" ht="15.75" thickBot="1" x14ac:dyDescent="0.3">
      <c r="A3" s="87" t="s">
        <v>21</v>
      </c>
      <c r="B3" s="88"/>
    </row>
    <row r="4" spans="1:6" x14ac:dyDescent="0.25">
      <c r="A4" s="89" t="s">
        <v>22</v>
      </c>
      <c r="B4" s="92">
        <f>GARCH!B4</f>
        <v>1.2E-5</v>
      </c>
    </row>
    <row r="5" spans="1:6" x14ac:dyDescent="0.25">
      <c r="A5" s="90" t="s">
        <v>23</v>
      </c>
      <c r="B5" s="93">
        <f>GARCH!B5</f>
        <v>0.1</v>
      </c>
    </row>
    <row r="6" spans="1:6" x14ac:dyDescent="0.25">
      <c r="A6" s="90" t="s">
        <v>24</v>
      </c>
      <c r="B6" s="93">
        <f>GARCH!B6</f>
        <v>0.85</v>
      </c>
    </row>
    <row r="7" spans="1:6" x14ac:dyDescent="0.25">
      <c r="A7" s="90" t="s">
        <v>25</v>
      </c>
      <c r="B7" s="93">
        <f>GARCH!B7</f>
        <v>0.95</v>
      </c>
    </row>
    <row r="8" spans="1:6" x14ac:dyDescent="0.25">
      <c r="A8" s="90" t="s">
        <v>15</v>
      </c>
      <c r="B8" s="94">
        <f>GARCH!B9</f>
        <v>1.5491933384829661E-2</v>
      </c>
    </row>
    <row r="9" spans="1:6" x14ac:dyDescent="0.25">
      <c r="A9" s="90" t="s">
        <v>26</v>
      </c>
      <c r="B9" s="94">
        <f>GARCH!B9*SQRT(252)</f>
        <v>0.24592681838303027</v>
      </c>
    </row>
    <row r="10" spans="1:6" x14ac:dyDescent="0.25">
      <c r="A10" s="90" t="s">
        <v>27</v>
      </c>
      <c r="B10" s="94">
        <f>AVERAGE(GARCH!E13:E112)</f>
        <v>1.145425142217143E-2</v>
      </c>
    </row>
    <row r="11" spans="1:6" x14ac:dyDescent="0.25">
      <c r="A11" s="90" t="s">
        <v>28</v>
      </c>
      <c r="B11" s="94">
        <f>MAX(GARCH!E13:E112)</f>
        <v>1.5185896144624194E-2</v>
      </c>
    </row>
    <row r="12" spans="1:6" ht="15.75" thickBot="1" x14ac:dyDescent="0.3">
      <c r="A12" s="91" t="s">
        <v>29</v>
      </c>
      <c r="B12" s="95">
        <f>MIN(GARCH!E13:E112)</f>
        <v>9.0402689737267752E-3</v>
      </c>
    </row>
    <row r="14" spans="1:6" x14ac:dyDescent="0.25">
      <c r="A14" s="86" t="s">
        <v>141</v>
      </c>
      <c r="B14" s="86"/>
    </row>
    <row r="15" spans="1:6" x14ac:dyDescent="0.25">
      <c r="A15" s="86"/>
      <c r="B15" s="86"/>
    </row>
    <row r="16" spans="1:6" x14ac:dyDescent="0.25">
      <c r="A16" s="86"/>
      <c r="B16" s="86"/>
    </row>
    <row r="17" spans="1:2" x14ac:dyDescent="0.25">
      <c r="A17" s="86"/>
      <c r="B17" s="86"/>
    </row>
    <row r="18" spans="1:2" x14ac:dyDescent="0.25">
      <c r="A18" s="86"/>
      <c r="B18" s="86"/>
    </row>
    <row r="19" spans="1:2" x14ac:dyDescent="0.25">
      <c r="A19" s="86"/>
      <c r="B19" s="86"/>
    </row>
    <row r="20" spans="1:2" x14ac:dyDescent="0.25">
      <c r="A20" s="86"/>
      <c r="B20" s="86"/>
    </row>
    <row r="21" spans="1:2" x14ac:dyDescent="0.25">
      <c r="A21" s="86"/>
      <c r="B21" s="86"/>
    </row>
    <row r="22" spans="1:2" x14ac:dyDescent="0.25">
      <c r="A22" s="86"/>
      <c r="B22" s="86"/>
    </row>
    <row r="23" spans="1:2" x14ac:dyDescent="0.25">
      <c r="A23" s="86"/>
      <c r="B23" s="86"/>
    </row>
    <row r="24" spans="1:2" x14ac:dyDescent="0.25">
      <c r="A24" s="86"/>
      <c r="B24" s="86"/>
    </row>
    <row r="25" spans="1:2" x14ac:dyDescent="0.25">
      <c r="A25" s="86"/>
      <c r="B25" s="86"/>
    </row>
    <row r="49" spans="1:10" x14ac:dyDescent="0.25">
      <c r="A49" s="96" t="s">
        <v>151</v>
      </c>
      <c r="B49" s="96"/>
      <c r="C49" s="96"/>
      <c r="D49" s="96"/>
      <c r="E49" s="96"/>
      <c r="F49" s="96"/>
      <c r="G49" s="96"/>
      <c r="H49" s="96"/>
      <c r="I49" s="96"/>
      <c r="J49" s="96"/>
    </row>
    <row r="50" spans="1:10" x14ac:dyDescent="0.25">
      <c r="A50" s="96"/>
      <c r="B50" s="96"/>
      <c r="C50" s="96"/>
      <c r="D50" s="96"/>
      <c r="E50" s="96"/>
      <c r="F50" s="96"/>
      <c r="G50" s="96"/>
      <c r="H50" s="96"/>
      <c r="I50" s="96"/>
      <c r="J50" s="96"/>
    </row>
    <row r="51" spans="1:10" x14ac:dyDescent="0.25">
      <c r="A51" s="96"/>
      <c r="B51" s="96"/>
      <c r="C51" s="96"/>
      <c r="D51" s="96"/>
      <c r="E51" s="96"/>
      <c r="F51" s="96"/>
      <c r="G51" s="96"/>
      <c r="H51" s="96"/>
      <c r="I51" s="96"/>
      <c r="J51" s="96"/>
    </row>
    <row r="52" spans="1:10" x14ac:dyDescent="0.25">
      <c r="A52" s="96"/>
      <c r="B52" s="96"/>
      <c r="C52" s="96"/>
      <c r="D52" s="96"/>
      <c r="E52" s="96"/>
      <c r="F52" s="96"/>
      <c r="G52" s="96"/>
      <c r="H52" s="96"/>
      <c r="I52" s="96"/>
      <c r="J52" s="96"/>
    </row>
    <row r="73" spans="1:10" x14ac:dyDescent="0.25">
      <c r="A73" s="96" t="s">
        <v>152</v>
      </c>
      <c r="B73" s="96"/>
      <c r="C73" s="96"/>
      <c r="D73" s="96"/>
      <c r="E73" s="96"/>
      <c r="F73" s="96"/>
      <c r="G73" s="96"/>
      <c r="H73" s="96"/>
      <c r="I73" s="96"/>
      <c r="J73" s="96"/>
    </row>
    <row r="74" spans="1:10" x14ac:dyDescent="0.25">
      <c r="A74" s="96"/>
      <c r="B74" s="96"/>
      <c r="C74" s="96"/>
      <c r="D74" s="96"/>
      <c r="E74" s="96"/>
      <c r="F74" s="96"/>
      <c r="G74" s="96"/>
      <c r="H74" s="96"/>
      <c r="I74" s="96"/>
      <c r="J74" s="96"/>
    </row>
    <row r="75" spans="1:10" x14ac:dyDescent="0.25">
      <c r="A75" s="96"/>
      <c r="B75" s="96"/>
      <c r="C75" s="96"/>
      <c r="D75" s="96"/>
      <c r="E75" s="96"/>
      <c r="F75" s="96"/>
      <c r="G75" s="96"/>
      <c r="H75" s="96"/>
      <c r="I75" s="96"/>
      <c r="J75" s="96"/>
    </row>
    <row r="76" spans="1:10" x14ac:dyDescent="0.25">
      <c r="A76" s="96"/>
      <c r="B76" s="96"/>
      <c r="C76" s="96"/>
      <c r="D76" s="96"/>
      <c r="E76" s="96"/>
      <c r="F76" s="96"/>
      <c r="G76" s="96"/>
      <c r="H76" s="96"/>
      <c r="I76" s="96"/>
      <c r="J76" s="96"/>
    </row>
  </sheetData>
  <mergeCells count="5">
    <mergeCell ref="A1:F1"/>
    <mergeCell ref="A3:B3"/>
    <mergeCell ref="A14:B25"/>
    <mergeCell ref="A49:J52"/>
    <mergeCell ref="A73:J76"/>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showGridLines="0" tabSelected="1" topLeftCell="A6" zoomScaleNormal="100" workbookViewId="0">
      <selection activeCell="A16" sqref="A16"/>
    </sheetView>
  </sheetViews>
  <sheetFormatPr baseColWidth="10" defaultColWidth="8.7109375" defaultRowHeight="15" x14ac:dyDescent="0.25"/>
  <cols>
    <col min="1" max="1" width="22" customWidth="1"/>
    <col min="2" max="3" width="24" customWidth="1"/>
    <col min="4" max="4" width="28.85546875" customWidth="1"/>
  </cols>
  <sheetData>
    <row r="1" spans="1:4" ht="27.75" customHeight="1" thickBot="1" x14ac:dyDescent="0.3">
      <c r="A1" s="17" t="s">
        <v>37</v>
      </c>
      <c r="B1" s="18"/>
      <c r="C1" s="18"/>
      <c r="D1" s="19"/>
    </row>
    <row r="2" spans="1:4" ht="15.75" thickBot="1" x14ac:dyDescent="0.3">
      <c r="A2" s="50" t="s">
        <v>30</v>
      </c>
      <c r="B2" s="51"/>
      <c r="C2" s="51"/>
      <c r="D2" s="52"/>
    </row>
    <row r="3" spans="1:4" ht="54.75" customHeight="1" x14ac:dyDescent="0.25">
      <c r="A3" s="80" t="s">
        <v>31</v>
      </c>
      <c r="B3" s="83" t="str">
        <f>IF(GARCH!B7&lt;1,"El proceso es estacionario en covarianza (α₁+β₁ = "&amp;TEXT(GARCH!B7,"0,0000")&amp;" &lt; 1): la varianza incondicional existe y es finita.","El proceso NO es estacionario (α₁+β₁ ≥ 1): estamos ante un caso IGARCH, los choques de volatilidad son permanentes.")</f>
        <v>El proceso es estacionario en covarianza (α₁+β₁ = 0,9500 &lt; 1): la varianza incondicional existe y es finita.</v>
      </c>
      <c r="C3" s="75"/>
      <c r="D3" s="76"/>
    </row>
    <row r="4" spans="1:4" ht="54.75" customHeight="1" x14ac:dyDescent="0.25">
      <c r="A4" s="81" t="s">
        <v>32</v>
      </c>
      <c r="B4" s="84" t="str">
        <f>IF(GARCH!B7&gt;0.95,"La persistencia es muy alta ("&amp;TEXT(GARCH!B7,"0,0000")&amp;"): los choques de volatilidad tardan mucho en disiparse, típico de series financieras diarias.",IF(GARCH!B7&gt;0.8,"La persistencia es moderada-alta ("&amp;TEXT(GARCH!B7,"0,0000")&amp;"): la volatilidad tiene memoria pero se disipa en un plazo razonable.","La persistencia es baja ("&amp;TEXT(GARCH!B7,"0.0000")&amp;"): los choques de volatilidad se disipan rápido."))</f>
        <v>La persistencia es moderada-alta (0,9500): la volatilidad tiene memoria pero se disipa en un plazo razonable.</v>
      </c>
      <c r="C4" s="1"/>
      <c r="D4" s="77"/>
    </row>
    <row r="5" spans="1:4" ht="54.75" customHeight="1" x14ac:dyDescent="0.25">
      <c r="A5" s="81" t="s">
        <v>33</v>
      </c>
      <c r="B5" s="84" t="str">
        <f>IF(GARCH!B6&gt;GARCH!B5,"Domina el término GARCH (β₁ = "&amp;TEXT(GARCH!B6,"0,00")&amp;" &gt; α₁ = "&amp;TEXT(GARCH!B5,"0,00")&amp;"): la volatilidad se explica más por su propio pasado (suavizamiento) que por sorpresas puntuales.","Domina el término ARCH (α₁ = "&amp;TEXT(GARCH!B5,"0,00")&amp;" ≥ β₁ = "&amp;TEXT(GARCH!B6,"0,00")&amp;"): la volatilidad reacciona con fuerza a las sorpresas recientes, con poca memoria de largo plazo.")</f>
        <v>Domina el término GARCH (β₁ = 0,85 &gt; α₁ = 0,10): la volatilidad se explica más por su propio pasado (suavizamiento) que por sorpresas puntuales.</v>
      </c>
      <c r="C5" s="1"/>
      <c r="D5" s="77"/>
    </row>
    <row r="6" spans="1:4" ht="54.75" customHeight="1" x14ac:dyDescent="0.25">
      <c r="A6" s="81" t="s">
        <v>34</v>
      </c>
      <c r="B6" s="84" t="str">
        <f>IF(AND(GARCH!B5&gt;=0.05,GARCH!B5&lt;=0.15,GARCH!B6&gt;=0.8,GARCH!B6&lt;=0.95),"Los parámetros están dentro del rango típico reportado en la literatura (α₁ ≈ 0.05–0.15, β₁ ≈ 0.80–0.95).","Los parámetros se salen del rango típico reportado en la literatura (α₁ ≈ 0.05–0.15, β₁ ≈ 0.80–0.95); revisa si el ajuste tiene sentido económico.")</f>
        <v>Los parámetros están dentro del rango típico reportado en la literatura (α₁ ≈ 0.05–0.15, β₁ ≈ 0.80–0.95).</v>
      </c>
      <c r="C6" s="1"/>
      <c r="D6" s="77"/>
    </row>
    <row r="7" spans="1:4" ht="54.75" customHeight="1" thickBot="1" x14ac:dyDescent="0.3">
      <c r="A7" s="82" t="s">
        <v>35</v>
      </c>
      <c r="B7" s="85" t="str">
        <f>IF(GARCH!B7&lt;1,"La volatilidad de largo plazo (incondicional) es "&amp;TEXT(GARCH!B9,"0,00%")&amp;" diaria, equivalente a "&amp;TEXT(GARCH!B9*SQRT(252),"0,00%")&amp;" anualizada.","No aplica: el proceso no es estacionario.")</f>
        <v>La volatilidad de largo plazo (incondicional) es 1,55% diaria, equivalente a 24,59% anualizada.</v>
      </c>
      <c r="C7" s="78"/>
      <c r="D7" s="79"/>
    </row>
    <row r="9" spans="1:4" x14ac:dyDescent="0.25">
      <c r="A9" s="53"/>
      <c r="B9" s="53"/>
      <c r="C9" s="53"/>
      <c r="D9" s="53"/>
    </row>
    <row r="10" spans="1:4" x14ac:dyDescent="0.25">
      <c r="A10" s="96" t="s">
        <v>153</v>
      </c>
      <c r="B10" s="96"/>
      <c r="C10" s="96"/>
      <c r="D10" s="96"/>
    </row>
    <row r="11" spans="1:4" x14ac:dyDescent="0.25">
      <c r="A11" s="96"/>
      <c r="B11" s="96"/>
      <c r="C11" s="96"/>
      <c r="D11" s="96"/>
    </row>
    <row r="12" spans="1:4" x14ac:dyDescent="0.25">
      <c r="A12" s="96"/>
      <c r="B12" s="96"/>
      <c r="C12" s="96"/>
      <c r="D12" s="96"/>
    </row>
    <row r="13" spans="1:4" x14ac:dyDescent="0.25">
      <c r="A13" s="96"/>
      <c r="B13" s="96"/>
      <c r="C13" s="96"/>
      <c r="D13" s="96"/>
    </row>
    <row r="14" spans="1:4" x14ac:dyDescent="0.25">
      <c r="A14" s="96"/>
      <c r="B14" s="96"/>
      <c r="C14" s="96"/>
      <c r="D14" s="96"/>
    </row>
    <row r="15" spans="1:4" x14ac:dyDescent="0.25">
      <c r="A15" s="96"/>
      <c r="B15" s="96"/>
      <c r="C15" s="96"/>
      <c r="D15" s="96"/>
    </row>
  </sheetData>
  <mergeCells count="9">
    <mergeCell ref="A9:D9"/>
    <mergeCell ref="A10:D15"/>
    <mergeCell ref="B5:D5"/>
    <mergeCell ref="B6:D6"/>
    <mergeCell ref="B7:D7"/>
    <mergeCell ref="A1:D1"/>
    <mergeCell ref="A2:D2"/>
    <mergeCell ref="B3:D3"/>
    <mergeCell ref="B4:D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Datos</vt:lpstr>
      <vt:lpstr>GARCH</vt:lpstr>
      <vt:lpstr>Graficas</vt:lpstr>
      <vt:lpstr>Interpretación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Olimpia</cp:lastModifiedBy>
  <cp:revision>1</cp:revision>
  <dcterms:created xsi:type="dcterms:W3CDTF">2026-07-13T04:44:26Z</dcterms:created>
  <dcterms:modified xsi:type="dcterms:W3CDTF">2026-07-13T07:21:48Z</dcterms:modified>
  <dc:language>en-US</dc:language>
</cp:coreProperties>
</file>